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Arrdiuno\metronome\"/>
    </mc:Choice>
  </mc:AlternateContent>
  <bookViews>
    <workbookView xWindow="0" yWindow="0" windowWidth="15528" windowHeight="10272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12" i="1" l="1"/>
  <c r="BA11" i="1"/>
  <c r="AW15" i="1"/>
  <c r="X10" i="1"/>
  <c r="V12" i="1"/>
  <c r="S6" i="1" l="1"/>
  <c r="S7" i="1"/>
  <c r="S8" i="1"/>
  <c r="S5" i="1"/>
  <c r="O6" i="1"/>
  <c r="O7" i="1"/>
  <c r="O8" i="1"/>
  <c r="M5" i="1"/>
  <c r="J6" i="1"/>
  <c r="J7" i="1"/>
  <c r="J8" i="1" s="1"/>
  <c r="J5" i="1"/>
  <c r="G7" i="1"/>
  <c r="G8" i="1"/>
  <c r="G5" i="1"/>
  <c r="Q2" i="1"/>
  <c r="K2" i="1"/>
  <c r="H2" i="1"/>
  <c r="E2" i="1"/>
  <c r="A6" i="1"/>
  <c r="A7" i="1"/>
  <c r="A8" i="1"/>
  <c r="R8" i="1"/>
  <c r="R7" i="1"/>
  <c r="R6" i="1"/>
  <c r="R5" i="1"/>
  <c r="L8" i="1"/>
  <c r="M8" i="1" s="1"/>
  <c r="L7" i="1"/>
  <c r="M7" i="1" s="1"/>
  <c r="L6" i="1"/>
  <c r="M6" i="1" s="1"/>
  <c r="L5" i="1"/>
  <c r="O5" i="1"/>
  <c r="I8" i="1"/>
  <c r="I7" i="1"/>
  <c r="I6" i="1"/>
  <c r="I5" i="1"/>
  <c r="F8" i="1"/>
  <c r="F7" i="1"/>
  <c r="F6" i="1"/>
  <c r="G6" i="1" s="1"/>
  <c r="F5" i="1"/>
  <c r="Q8" i="1"/>
  <c r="Q7" i="1"/>
  <c r="Q6" i="1"/>
  <c r="Q5" i="1"/>
  <c r="Q4" i="1"/>
  <c r="N8" i="1"/>
  <c r="N7" i="1"/>
  <c r="N6" i="1"/>
  <c r="BB11" i="1"/>
  <c r="N4" i="1"/>
  <c r="K8" i="1"/>
  <c r="K7" i="1"/>
  <c r="K6" i="1"/>
  <c r="K5" i="1"/>
  <c r="K4" i="1"/>
  <c r="H8" i="1"/>
  <c r="H7" i="1"/>
  <c r="H6" i="1"/>
  <c r="H5" i="1"/>
  <c r="H4" i="1"/>
  <c r="E8" i="1"/>
  <c r="E7" i="1"/>
  <c r="E6" i="1"/>
  <c r="E5" i="1"/>
  <c r="E4" i="1"/>
  <c r="BC11" i="1"/>
  <c r="BD11" i="1"/>
  <c r="BE11" i="1"/>
  <c r="BF9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6" i="1"/>
  <c r="AN9" i="1"/>
  <c r="AW9" i="1"/>
  <c r="BN12" i="1"/>
  <c r="BM12" i="1"/>
  <c r="BL12" i="1"/>
  <c r="BK12" i="1"/>
  <c r="BE12" i="1"/>
  <c r="BD12" i="1"/>
  <c r="BC12" i="1"/>
  <c r="AV12" i="1"/>
  <c r="AU12" i="1"/>
  <c r="AT12" i="1"/>
  <c r="AS12" i="1"/>
  <c r="V9" i="1"/>
  <c r="AE9" i="1"/>
  <c r="AM12" i="1"/>
  <c r="AL12" i="1"/>
  <c r="AK12" i="1"/>
  <c r="AJ12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6" i="1"/>
  <c r="AY17" i="1"/>
  <c r="AY18" i="1"/>
  <c r="AY19" i="1"/>
  <c r="AY15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4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3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2" i="1"/>
  <c r="BG15" i="1"/>
  <c r="BG14" i="1"/>
  <c r="BG13" i="1"/>
  <c r="BG12" i="1"/>
  <c r="AX14" i="1"/>
  <c r="AX13" i="1"/>
  <c r="AX12" i="1"/>
  <c r="AO13" i="1"/>
  <c r="AO12" i="1"/>
  <c r="AF12" i="1"/>
  <c r="BF17" i="1"/>
  <c r="BG17" i="1" s="1"/>
  <c r="BF18" i="1"/>
  <c r="BG18" i="1" s="1"/>
  <c r="BF19" i="1"/>
  <c r="BG19" i="1" s="1"/>
  <c r="BF20" i="1"/>
  <c r="BG20" i="1" s="1"/>
  <c r="BF21" i="1"/>
  <c r="BG21" i="1" s="1"/>
  <c r="BF22" i="1"/>
  <c r="BG22" i="1" s="1"/>
  <c r="BF23" i="1"/>
  <c r="BG23" i="1" s="1"/>
  <c r="BF24" i="1"/>
  <c r="BG24" i="1" s="1"/>
  <c r="BF25" i="1"/>
  <c r="BG25" i="1" s="1"/>
  <c r="BF26" i="1"/>
  <c r="BG26" i="1" s="1"/>
  <c r="BF27" i="1"/>
  <c r="BG27" i="1" s="1"/>
  <c r="BF28" i="1"/>
  <c r="BG28" i="1" s="1"/>
  <c r="BF29" i="1"/>
  <c r="BG29" i="1" s="1"/>
  <c r="BF30" i="1"/>
  <c r="BG30" i="1" s="1"/>
  <c r="BF31" i="1"/>
  <c r="BG31" i="1" s="1"/>
  <c r="BF32" i="1"/>
  <c r="BG32" i="1" s="1"/>
  <c r="BF33" i="1"/>
  <c r="BG33" i="1" s="1"/>
  <c r="BF34" i="1"/>
  <c r="BG34" i="1" s="1"/>
  <c r="BF35" i="1"/>
  <c r="BG35" i="1" s="1"/>
  <c r="BF36" i="1"/>
  <c r="BG36" i="1" s="1"/>
  <c r="BF37" i="1"/>
  <c r="BG37" i="1" s="1"/>
  <c r="BF38" i="1"/>
  <c r="BG38" i="1" s="1"/>
  <c r="BF39" i="1"/>
  <c r="BG39" i="1" s="1"/>
  <c r="BF40" i="1"/>
  <c r="BG40" i="1" s="1"/>
  <c r="BF41" i="1"/>
  <c r="BG41" i="1" s="1"/>
  <c r="BF42" i="1"/>
  <c r="BG42" i="1" s="1"/>
  <c r="BF43" i="1"/>
  <c r="BG43" i="1" s="1"/>
  <c r="BF44" i="1"/>
  <c r="BG44" i="1" s="1"/>
  <c r="BF45" i="1"/>
  <c r="BG45" i="1" s="1"/>
  <c r="BF46" i="1"/>
  <c r="BG46" i="1" s="1"/>
  <c r="BF47" i="1"/>
  <c r="BG47" i="1" s="1"/>
  <c r="BF48" i="1"/>
  <c r="BG48" i="1" s="1"/>
  <c r="BF49" i="1"/>
  <c r="BG49" i="1" s="1"/>
  <c r="BF50" i="1"/>
  <c r="BG50" i="1" s="1"/>
  <c r="BF51" i="1"/>
  <c r="BG51" i="1" s="1"/>
  <c r="BF52" i="1"/>
  <c r="BG52" i="1" s="1"/>
  <c r="BF53" i="1"/>
  <c r="BG53" i="1" s="1"/>
  <c r="BF54" i="1"/>
  <c r="BG54" i="1" s="1"/>
  <c r="BF55" i="1"/>
  <c r="BG55" i="1" s="1"/>
  <c r="BF56" i="1"/>
  <c r="BG56" i="1" s="1"/>
  <c r="BF57" i="1"/>
  <c r="BG57" i="1" s="1"/>
  <c r="BF58" i="1"/>
  <c r="BG58" i="1" s="1"/>
  <c r="BF59" i="1"/>
  <c r="BG59" i="1" s="1"/>
  <c r="BF60" i="1"/>
  <c r="BG60" i="1" s="1"/>
  <c r="BF61" i="1"/>
  <c r="BG61" i="1" s="1"/>
  <c r="BF62" i="1"/>
  <c r="BG62" i="1" s="1"/>
  <c r="BF63" i="1"/>
  <c r="BG63" i="1" s="1"/>
  <c r="BF64" i="1"/>
  <c r="BG64" i="1" s="1"/>
  <c r="BF65" i="1"/>
  <c r="BG65" i="1" s="1"/>
  <c r="BF66" i="1"/>
  <c r="BG66" i="1" s="1"/>
  <c r="BF67" i="1"/>
  <c r="BG67" i="1" s="1"/>
  <c r="BF68" i="1"/>
  <c r="BG68" i="1" s="1"/>
  <c r="BF69" i="1"/>
  <c r="BG69" i="1" s="1"/>
  <c r="BF70" i="1"/>
  <c r="BG70" i="1" s="1"/>
  <c r="BF71" i="1"/>
  <c r="BG71" i="1" s="1"/>
  <c r="BF72" i="1"/>
  <c r="BG72" i="1" s="1"/>
  <c r="BF73" i="1"/>
  <c r="BG73" i="1" s="1"/>
  <c r="BF74" i="1"/>
  <c r="BG74" i="1" s="1"/>
  <c r="BF75" i="1"/>
  <c r="BG75" i="1" s="1"/>
  <c r="BF76" i="1"/>
  <c r="BG76" i="1" s="1"/>
  <c r="BF77" i="1"/>
  <c r="BG77" i="1" s="1"/>
  <c r="BF78" i="1"/>
  <c r="BG78" i="1" s="1"/>
  <c r="BF79" i="1"/>
  <c r="BG79" i="1" s="1"/>
  <c r="BF80" i="1"/>
  <c r="BG80" i="1" s="1"/>
  <c r="BF81" i="1"/>
  <c r="BG81" i="1" s="1"/>
  <c r="BF82" i="1"/>
  <c r="BG82" i="1" s="1"/>
  <c r="BF83" i="1"/>
  <c r="BG83" i="1" s="1"/>
  <c r="BF84" i="1"/>
  <c r="BG84" i="1" s="1"/>
  <c r="BF85" i="1"/>
  <c r="BG85" i="1" s="1"/>
  <c r="BF86" i="1"/>
  <c r="BG86" i="1" s="1"/>
  <c r="BF87" i="1"/>
  <c r="BG87" i="1" s="1"/>
  <c r="BF88" i="1"/>
  <c r="BG88" i="1" s="1"/>
  <c r="BF89" i="1"/>
  <c r="BG89" i="1" s="1"/>
  <c r="BF90" i="1"/>
  <c r="BG90" i="1" s="1"/>
  <c r="BF91" i="1"/>
  <c r="BG91" i="1" s="1"/>
  <c r="BF92" i="1"/>
  <c r="BG92" i="1" s="1"/>
  <c r="BF93" i="1"/>
  <c r="BG93" i="1" s="1"/>
  <c r="BF94" i="1"/>
  <c r="BG94" i="1" s="1"/>
  <c r="BF95" i="1"/>
  <c r="BG95" i="1" s="1"/>
  <c r="BF96" i="1"/>
  <c r="BG96" i="1" s="1"/>
  <c r="BF97" i="1"/>
  <c r="BG97" i="1" s="1"/>
  <c r="BF98" i="1"/>
  <c r="BG98" i="1" s="1"/>
  <c r="BF99" i="1"/>
  <c r="BG99" i="1" s="1"/>
  <c r="BF100" i="1"/>
  <c r="BG100" i="1" s="1"/>
  <c r="BF101" i="1"/>
  <c r="BG101" i="1" s="1"/>
  <c r="BF102" i="1"/>
  <c r="BG102" i="1" s="1"/>
  <c r="BF103" i="1"/>
  <c r="BG103" i="1" s="1"/>
  <c r="BF104" i="1"/>
  <c r="BG104" i="1" s="1"/>
  <c r="BF105" i="1"/>
  <c r="BG105" i="1" s="1"/>
  <c r="BF106" i="1"/>
  <c r="BG106" i="1" s="1"/>
  <c r="BF16" i="1"/>
  <c r="BG16" i="1" s="1"/>
  <c r="AW16" i="1"/>
  <c r="AX16" i="1" s="1"/>
  <c r="AW17" i="1"/>
  <c r="AX17" i="1" s="1"/>
  <c r="AW18" i="1"/>
  <c r="AX18" i="1" s="1"/>
  <c r="AW19" i="1"/>
  <c r="AX19" i="1" s="1"/>
  <c r="AW20" i="1"/>
  <c r="AX20" i="1" s="1"/>
  <c r="AW21" i="1"/>
  <c r="AX21" i="1" s="1"/>
  <c r="AW22" i="1"/>
  <c r="AX22" i="1" s="1"/>
  <c r="AW23" i="1"/>
  <c r="AX23" i="1" s="1"/>
  <c r="AW24" i="1"/>
  <c r="AX24" i="1" s="1"/>
  <c r="AW25" i="1"/>
  <c r="AX25" i="1" s="1"/>
  <c r="AW26" i="1"/>
  <c r="AX26" i="1" s="1"/>
  <c r="AW27" i="1"/>
  <c r="AX27" i="1" s="1"/>
  <c r="AW28" i="1"/>
  <c r="AX28" i="1" s="1"/>
  <c r="AW29" i="1"/>
  <c r="AX29" i="1" s="1"/>
  <c r="AW30" i="1"/>
  <c r="AX30" i="1" s="1"/>
  <c r="AW31" i="1"/>
  <c r="AX31" i="1" s="1"/>
  <c r="AW32" i="1"/>
  <c r="AX32" i="1" s="1"/>
  <c r="AW33" i="1"/>
  <c r="AX33" i="1" s="1"/>
  <c r="AW34" i="1"/>
  <c r="AX34" i="1" s="1"/>
  <c r="AW35" i="1"/>
  <c r="AX35" i="1" s="1"/>
  <c r="AW36" i="1"/>
  <c r="AX36" i="1" s="1"/>
  <c r="AW37" i="1"/>
  <c r="AX37" i="1" s="1"/>
  <c r="AW38" i="1"/>
  <c r="AX38" i="1" s="1"/>
  <c r="AW39" i="1"/>
  <c r="AX39" i="1" s="1"/>
  <c r="AW40" i="1"/>
  <c r="AX40" i="1" s="1"/>
  <c r="AW41" i="1"/>
  <c r="AX41" i="1" s="1"/>
  <c r="AW42" i="1"/>
  <c r="AX42" i="1" s="1"/>
  <c r="AW43" i="1"/>
  <c r="AX43" i="1" s="1"/>
  <c r="AW44" i="1"/>
  <c r="AX44" i="1" s="1"/>
  <c r="AW45" i="1"/>
  <c r="AX45" i="1" s="1"/>
  <c r="AW46" i="1"/>
  <c r="AX46" i="1" s="1"/>
  <c r="AW47" i="1"/>
  <c r="AX47" i="1" s="1"/>
  <c r="AW48" i="1"/>
  <c r="AX48" i="1" s="1"/>
  <c r="AW49" i="1"/>
  <c r="AX49" i="1" s="1"/>
  <c r="AW50" i="1"/>
  <c r="AX50" i="1" s="1"/>
  <c r="AW51" i="1"/>
  <c r="AX51" i="1" s="1"/>
  <c r="AW52" i="1"/>
  <c r="AX52" i="1" s="1"/>
  <c r="AW53" i="1"/>
  <c r="AX53" i="1" s="1"/>
  <c r="AW54" i="1"/>
  <c r="AX54" i="1" s="1"/>
  <c r="AW55" i="1"/>
  <c r="AX55" i="1" s="1"/>
  <c r="AW56" i="1"/>
  <c r="AX56" i="1" s="1"/>
  <c r="AW57" i="1"/>
  <c r="AX57" i="1" s="1"/>
  <c r="AW58" i="1"/>
  <c r="AX58" i="1" s="1"/>
  <c r="AW59" i="1"/>
  <c r="AX59" i="1" s="1"/>
  <c r="AW60" i="1"/>
  <c r="AX60" i="1" s="1"/>
  <c r="AW61" i="1"/>
  <c r="AX61" i="1" s="1"/>
  <c r="AW62" i="1"/>
  <c r="AX62" i="1" s="1"/>
  <c r="AW63" i="1"/>
  <c r="AX63" i="1" s="1"/>
  <c r="AW64" i="1"/>
  <c r="AX64" i="1" s="1"/>
  <c r="AW65" i="1"/>
  <c r="AX65" i="1" s="1"/>
  <c r="AW66" i="1"/>
  <c r="AX66" i="1" s="1"/>
  <c r="AW67" i="1"/>
  <c r="AX67" i="1" s="1"/>
  <c r="AW68" i="1"/>
  <c r="AX68" i="1" s="1"/>
  <c r="AW69" i="1"/>
  <c r="AX69" i="1" s="1"/>
  <c r="AW70" i="1"/>
  <c r="AX70" i="1" s="1"/>
  <c r="AW71" i="1"/>
  <c r="AX71" i="1" s="1"/>
  <c r="AW72" i="1"/>
  <c r="AX72" i="1" s="1"/>
  <c r="AW73" i="1"/>
  <c r="AX73" i="1" s="1"/>
  <c r="AW74" i="1"/>
  <c r="AX74" i="1" s="1"/>
  <c r="AW75" i="1"/>
  <c r="AX75" i="1" s="1"/>
  <c r="AW76" i="1"/>
  <c r="AX76" i="1" s="1"/>
  <c r="AW77" i="1"/>
  <c r="AX77" i="1" s="1"/>
  <c r="AW78" i="1"/>
  <c r="AX78" i="1" s="1"/>
  <c r="AW79" i="1"/>
  <c r="AX79" i="1" s="1"/>
  <c r="AW80" i="1"/>
  <c r="AX80" i="1" s="1"/>
  <c r="AW81" i="1"/>
  <c r="AX81" i="1" s="1"/>
  <c r="AW82" i="1"/>
  <c r="AX82" i="1" s="1"/>
  <c r="AW83" i="1"/>
  <c r="AX83" i="1" s="1"/>
  <c r="AW84" i="1"/>
  <c r="AX84" i="1" s="1"/>
  <c r="AW85" i="1"/>
  <c r="AX85" i="1" s="1"/>
  <c r="AW86" i="1"/>
  <c r="AX86" i="1" s="1"/>
  <c r="AW87" i="1"/>
  <c r="AX87" i="1" s="1"/>
  <c r="AW88" i="1"/>
  <c r="AX88" i="1" s="1"/>
  <c r="AW89" i="1"/>
  <c r="AX89" i="1" s="1"/>
  <c r="AW90" i="1"/>
  <c r="AX90" i="1" s="1"/>
  <c r="AW91" i="1"/>
  <c r="AX91" i="1" s="1"/>
  <c r="AW92" i="1"/>
  <c r="AX92" i="1" s="1"/>
  <c r="AW93" i="1"/>
  <c r="AX93" i="1" s="1"/>
  <c r="AW94" i="1"/>
  <c r="AX94" i="1" s="1"/>
  <c r="AW95" i="1"/>
  <c r="AX95" i="1" s="1"/>
  <c r="AW96" i="1"/>
  <c r="AX96" i="1" s="1"/>
  <c r="AW97" i="1"/>
  <c r="AX97" i="1" s="1"/>
  <c r="AW98" i="1"/>
  <c r="AX98" i="1" s="1"/>
  <c r="AW99" i="1"/>
  <c r="AX99" i="1" s="1"/>
  <c r="AW100" i="1"/>
  <c r="AX100" i="1" s="1"/>
  <c r="AW101" i="1"/>
  <c r="AX101" i="1" s="1"/>
  <c r="AW102" i="1"/>
  <c r="AX102" i="1" s="1"/>
  <c r="AW103" i="1"/>
  <c r="AX103" i="1" s="1"/>
  <c r="AW104" i="1"/>
  <c r="AX104" i="1" s="1"/>
  <c r="AW105" i="1"/>
  <c r="AX105" i="1" s="1"/>
  <c r="AW106" i="1"/>
  <c r="AX106" i="1" s="1"/>
  <c r="AX15" i="1"/>
  <c r="AN15" i="1"/>
  <c r="AO15" i="1" s="1"/>
  <c r="AN16" i="1"/>
  <c r="AO16" i="1" s="1"/>
  <c r="AN17" i="1"/>
  <c r="AO17" i="1" s="1"/>
  <c r="AN18" i="1"/>
  <c r="AO18" i="1" s="1"/>
  <c r="AN19" i="1"/>
  <c r="AO19" i="1" s="1"/>
  <c r="AN20" i="1"/>
  <c r="AO20" i="1" s="1"/>
  <c r="AN21" i="1"/>
  <c r="AO21" i="1" s="1"/>
  <c r="AN22" i="1"/>
  <c r="AO22" i="1" s="1"/>
  <c r="AN23" i="1"/>
  <c r="AO23" i="1" s="1"/>
  <c r="AN24" i="1"/>
  <c r="AO24" i="1" s="1"/>
  <c r="AN25" i="1"/>
  <c r="AO25" i="1" s="1"/>
  <c r="AN26" i="1"/>
  <c r="AO26" i="1" s="1"/>
  <c r="AN27" i="1"/>
  <c r="AO27" i="1" s="1"/>
  <c r="AN28" i="1"/>
  <c r="AO28" i="1" s="1"/>
  <c r="AN29" i="1"/>
  <c r="AO29" i="1" s="1"/>
  <c r="AN30" i="1"/>
  <c r="AO30" i="1" s="1"/>
  <c r="AN31" i="1"/>
  <c r="AO31" i="1" s="1"/>
  <c r="AN32" i="1"/>
  <c r="AO32" i="1" s="1"/>
  <c r="AN33" i="1"/>
  <c r="AO33" i="1" s="1"/>
  <c r="AN34" i="1"/>
  <c r="AO34" i="1" s="1"/>
  <c r="AN35" i="1"/>
  <c r="AO35" i="1" s="1"/>
  <c r="AN36" i="1"/>
  <c r="AO36" i="1" s="1"/>
  <c r="AN37" i="1"/>
  <c r="AO37" i="1" s="1"/>
  <c r="AN38" i="1"/>
  <c r="AO38" i="1" s="1"/>
  <c r="AN39" i="1"/>
  <c r="AO39" i="1" s="1"/>
  <c r="AN40" i="1"/>
  <c r="AO40" i="1" s="1"/>
  <c r="AN41" i="1"/>
  <c r="AO41" i="1" s="1"/>
  <c r="AN42" i="1"/>
  <c r="AO42" i="1" s="1"/>
  <c r="AN43" i="1"/>
  <c r="AO43" i="1" s="1"/>
  <c r="AN44" i="1"/>
  <c r="AO44" i="1" s="1"/>
  <c r="AN45" i="1"/>
  <c r="AO45" i="1" s="1"/>
  <c r="AN46" i="1"/>
  <c r="AO46" i="1" s="1"/>
  <c r="AN47" i="1"/>
  <c r="AO47" i="1" s="1"/>
  <c r="AN48" i="1"/>
  <c r="AO48" i="1" s="1"/>
  <c r="AN49" i="1"/>
  <c r="AO49" i="1" s="1"/>
  <c r="AN50" i="1"/>
  <c r="AO50" i="1" s="1"/>
  <c r="AN51" i="1"/>
  <c r="AO51" i="1" s="1"/>
  <c r="AN52" i="1"/>
  <c r="AO52" i="1" s="1"/>
  <c r="AN53" i="1"/>
  <c r="AO53" i="1" s="1"/>
  <c r="AN54" i="1"/>
  <c r="AO54" i="1" s="1"/>
  <c r="AN55" i="1"/>
  <c r="AO55" i="1" s="1"/>
  <c r="AN56" i="1"/>
  <c r="AO56" i="1" s="1"/>
  <c r="AN57" i="1"/>
  <c r="AO57" i="1" s="1"/>
  <c r="AN58" i="1"/>
  <c r="AO58" i="1" s="1"/>
  <c r="AN59" i="1"/>
  <c r="AO59" i="1" s="1"/>
  <c r="AN60" i="1"/>
  <c r="AO60" i="1" s="1"/>
  <c r="AN61" i="1"/>
  <c r="AO61" i="1" s="1"/>
  <c r="AN62" i="1"/>
  <c r="AO62" i="1" s="1"/>
  <c r="AN63" i="1"/>
  <c r="AO63" i="1" s="1"/>
  <c r="AN64" i="1"/>
  <c r="AO64" i="1" s="1"/>
  <c r="AN65" i="1"/>
  <c r="AO65" i="1" s="1"/>
  <c r="AN66" i="1"/>
  <c r="AO66" i="1" s="1"/>
  <c r="AN67" i="1"/>
  <c r="AO67" i="1" s="1"/>
  <c r="AN68" i="1"/>
  <c r="AO68" i="1" s="1"/>
  <c r="AN69" i="1"/>
  <c r="AO69" i="1" s="1"/>
  <c r="AN70" i="1"/>
  <c r="AO70" i="1" s="1"/>
  <c r="AN71" i="1"/>
  <c r="AO71" i="1" s="1"/>
  <c r="AN72" i="1"/>
  <c r="AO72" i="1" s="1"/>
  <c r="AN73" i="1"/>
  <c r="AO73" i="1" s="1"/>
  <c r="AN74" i="1"/>
  <c r="AO74" i="1" s="1"/>
  <c r="AN75" i="1"/>
  <c r="AO75" i="1" s="1"/>
  <c r="AN76" i="1"/>
  <c r="AO76" i="1" s="1"/>
  <c r="AN77" i="1"/>
  <c r="AO77" i="1" s="1"/>
  <c r="AN78" i="1"/>
  <c r="AO78" i="1" s="1"/>
  <c r="AN79" i="1"/>
  <c r="AO79" i="1" s="1"/>
  <c r="AN80" i="1"/>
  <c r="AO80" i="1" s="1"/>
  <c r="AN81" i="1"/>
  <c r="AO81" i="1" s="1"/>
  <c r="AN82" i="1"/>
  <c r="AO82" i="1" s="1"/>
  <c r="AN83" i="1"/>
  <c r="AO83" i="1" s="1"/>
  <c r="AN84" i="1"/>
  <c r="AO84" i="1" s="1"/>
  <c r="AN85" i="1"/>
  <c r="AO85" i="1" s="1"/>
  <c r="AN86" i="1"/>
  <c r="AO86" i="1" s="1"/>
  <c r="AN87" i="1"/>
  <c r="AO87" i="1" s="1"/>
  <c r="AN88" i="1"/>
  <c r="AO88" i="1" s="1"/>
  <c r="AN89" i="1"/>
  <c r="AO89" i="1" s="1"/>
  <c r="AN90" i="1"/>
  <c r="AO90" i="1" s="1"/>
  <c r="AN91" i="1"/>
  <c r="AO91" i="1" s="1"/>
  <c r="AN92" i="1"/>
  <c r="AO92" i="1" s="1"/>
  <c r="AN93" i="1"/>
  <c r="AO93" i="1" s="1"/>
  <c r="AN94" i="1"/>
  <c r="AO94" i="1" s="1"/>
  <c r="AN95" i="1"/>
  <c r="AO95" i="1" s="1"/>
  <c r="AN96" i="1"/>
  <c r="AO96" i="1" s="1"/>
  <c r="AN97" i="1"/>
  <c r="AO97" i="1" s="1"/>
  <c r="AN98" i="1"/>
  <c r="AO98" i="1" s="1"/>
  <c r="AN99" i="1"/>
  <c r="AO99" i="1" s="1"/>
  <c r="AN100" i="1"/>
  <c r="AO100" i="1" s="1"/>
  <c r="AN101" i="1"/>
  <c r="AO101" i="1" s="1"/>
  <c r="AN102" i="1"/>
  <c r="AO102" i="1" s="1"/>
  <c r="AN103" i="1"/>
  <c r="AO103" i="1" s="1"/>
  <c r="AN104" i="1"/>
  <c r="AO104" i="1" s="1"/>
  <c r="AN105" i="1"/>
  <c r="AO105" i="1" s="1"/>
  <c r="AN106" i="1"/>
  <c r="AO106" i="1" s="1"/>
  <c r="AN14" i="1"/>
  <c r="AO14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3" i="1"/>
  <c r="AF13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W12" i="1"/>
  <c r="G2" i="1" l="1"/>
  <c r="S2" i="1"/>
  <c r="M2" i="1"/>
  <c r="J2" i="1"/>
  <c r="AP10" i="1"/>
  <c r="BJ11" i="1" s="1"/>
  <c r="AG10" i="1"/>
  <c r="AY10" i="1"/>
  <c r="AO8" i="1"/>
  <c r="AN8" i="1"/>
  <c r="AX8" i="1"/>
  <c r="BG8" i="1"/>
  <c r="AW8" i="1"/>
  <c r="BF8" i="1"/>
  <c r="AF8" i="1"/>
  <c r="W8" i="1"/>
  <c r="V8" i="1"/>
  <c r="AE8" i="1"/>
  <c r="AQ48" i="1" l="1"/>
  <c r="BA13" i="1"/>
  <c r="BA21" i="1"/>
  <c r="BA29" i="1"/>
  <c r="BA37" i="1"/>
  <c r="BA45" i="1"/>
  <c r="BA53" i="1"/>
  <c r="BA61" i="1"/>
  <c r="BA69" i="1"/>
  <c r="BA77" i="1"/>
  <c r="BA85" i="1"/>
  <c r="BA93" i="1"/>
  <c r="BA101" i="1"/>
  <c r="BA14" i="1"/>
  <c r="BA22" i="1"/>
  <c r="BA30" i="1"/>
  <c r="BA38" i="1"/>
  <c r="BA46" i="1"/>
  <c r="BA54" i="1"/>
  <c r="BA62" i="1"/>
  <c r="BA70" i="1"/>
  <c r="BA78" i="1"/>
  <c r="BA86" i="1"/>
  <c r="BA94" i="1"/>
  <c r="BA102" i="1"/>
  <c r="BA15" i="1"/>
  <c r="BA18" i="1"/>
  <c r="BA26" i="1"/>
  <c r="BA34" i="1"/>
  <c r="BA42" i="1"/>
  <c r="BA50" i="1"/>
  <c r="BA58" i="1"/>
  <c r="BA66" i="1"/>
  <c r="BA74" i="1"/>
  <c r="BA82" i="1"/>
  <c r="BA90" i="1"/>
  <c r="BA98" i="1"/>
  <c r="BA106" i="1"/>
  <c r="BA16" i="1"/>
  <c r="BA28" i="1"/>
  <c r="BA41" i="1"/>
  <c r="BA55" i="1"/>
  <c r="BA67" i="1"/>
  <c r="BA80" i="1"/>
  <c r="BA92" i="1"/>
  <c r="BA105" i="1"/>
  <c r="BA17" i="1"/>
  <c r="BA31" i="1"/>
  <c r="BA43" i="1"/>
  <c r="BA56" i="1"/>
  <c r="BA68" i="1"/>
  <c r="BA81" i="1"/>
  <c r="BA95" i="1"/>
  <c r="BA12" i="1"/>
  <c r="BA44" i="1"/>
  <c r="BA71" i="1"/>
  <c r="BA20" i="1"/>
  <c r="BA59" i="1"/>
  <c r="BA72" i="1"/>
  <c r="BA84" i="1"/>
  <c r="BA97" i="1"/>
  <c r="BA23" i="1"/>
  <c r="BA35" i="1"/>
  <c r="BA48" i="1"/>
  <c r="BA60" i="1"/>
  <c r="BA73" i="1"/>
  <c r="BA87" i="1"/>
  <c r="BA99" i="1"/>
  <c r="BA39" i="1"/>
  <c r="BA40" i="1"/>
  <c r="BA52" i="1"/>
  <c r="BA79" i="1"/>
  <c r="BA104" i="1"/>
  <c r="BA32" i="1"/>
  <c r="BA57" i="1"/>
  <c r="BA96" i="1"/>
  <c r="BA33" i="1"/>
  <c r="BA24" i="1"/>
  <c r="BA36" i="1"/>
  <c r="BA49" i="1"/>
  <c r="BA63" i="1"/>
  <c r="BA75" i="1"/>
  <c r="BA88" i="1"/>
  <c r="BA100" i="1"/>
  <c r="BA25" i="1"/>
  <c r="BA51" i="1"/>
  <c r="BA64" i="1"/>
  <c r="BA76" i="1"/>
  <c r="BA89" i="1"/>
  <c r="BA103" i="1"/>
  <c r="BA27" i="1"/>
  <c r="BA65" i="1"/>
  <c r="BA91" i="1"/>
  <c r="BA19" i="1"/>
  <c r="BA83" i="1"/>
  <c r="BA47" i="1"/>
  <c r="AQ64" i="1"/>
  <c r="AQ72" i="1"/>
  <c r="AI19" i="1"/>
  <c r="AI27" i="1"/>
  <c r="AI35" i="1"/>
  <c r="AI43" i="1"/>
  <c r="AI51" i="1"/>
  <c r="AI59" i="1"/>
  <c r="AI67" i="1"/>
  <c r="AI75" i="1"/>
  <c r="AI83" i="1"/>
  <c r="AI91" i="1"/>
  <c r="AI99" i="1"/>
  <c r="AI13" i="1"/>
  <c r="AI20" i="1"/>
  <c r="AI28" i="1"/>
  <c r="AI36" i="1"/>
  <c r="AI44" i="1"/>
  <c r="AI52" i="1"/>
  <c r="AI60" i="1"/>
  <c r="AI68" i="1"/>
  <c r="AI76" i="1"/>
  <c r="AI84" i="1"/>
  <c r="AI92" i="1"/>
  <c r="AI100" i="1"/>
  <c r="AI21" i="1"/>
  <c r="AI29" i="1"/>
  <c r="AI37" i="1"/>
  <c r="AI45" i="1"/>
  <c r="AI53" i="1"/>
  <c r="AI61" i="1"/>
  <c r="AI69" i="1"/>
  <c r="AI77" i="1"/>
  <c r="AI85" i="1"/>
  <c r="AI93" i="1"/>
  <c r="AI101" i="1"/>
  <c r="AI15" i="1"/>
  <c r="AI26" i="1"/>
  <c r="AI40" i="1"/>
  <c r="AI54" i="1"/>
  <c r="AI65" i="1"/>
  <c r="AI79" i="1"/>
  <c r="AI90" i="1"/>
  <c r="AI104" i="1"/>
  <c r="AI46" i="1"/>
  <c r="AI82" i="1"/>
  <c r="AI47" i="1"/>
  <c r="AI97" i="1"/>
  <c r="AI16" i="1"/>
  <c r="AI30" i="1"/>
  <c r="AI41" i="1"/>
  <c r="AI55" i="1"/>
  <c r="AI66" i="1"/>
  <c r="AI80" i="1"/>
  <c r="AI94" i="1"/>
  <c r="AI105" i="1"/>
  <c r="AI18" i="1"/>
  <c r="AI57" i="1"/>
  <c r="AI96" i="1"/>
  <c r="AI33" i="1"/>
  <c r="AI72" i="1"/>
  <c r="AI17" i="1"/>
  <c r="AI31" i="1"/>
  <c r="AI42" i="1"/>
  <c r="AI56" i="1"/>
  <c r="AI70" i="1"/>
  <c r="AI81" i="1"/>
  <c r="AI95" i="1"/>
  <c r="AI106" i="1"/>
  <c r="AI32" i="1"/>
  <c r="AI71" i="1"/>
  <c r="AI22" i="1"/>
  <c r="AI58" i="1"/>
  <c r="AI86" i="1"/>
  <c r="AI24" i="1"/>
  <c r="AI62" i="1"/>
  <c r="AI89" i="1"/>
  <c r="AI78" i="1"/>
  <c r="AI49" i="1"/>
  <c r="AI25" i="1"/>
  <c r="AI63" i="1"/>
  <c r="AI98" i="1"/>
  <c r="AI73" i="1"/>
  <c r="AI74" i="1"/>
  <c r="AI48" i="1"/>
  <c r="AI14" i="1"/>
  <c r="AI34" i="1"/>
  <c r="AI64" i="1"/>
  <c r="AI102" i="1"/>
  <c r="AI38" i="1"/>
  <c r="AI103" i="1"/>
  <c r="AI39" i="1"/>
  <c r="AI23" i="1"/>
  <c r="AI50" i="1"/>
  <c r="AI88" i="1"/>
  <c r="AI87" i="1"/>
  <c r="Z17" i="1"/>
  <c r="Z25" i="1"/>
  <c r="Z33" i="1"/>
  <c r="Z41" i="1"/>
  <c r="Z49" i="1"/>
  <c r="Z57" i="1"/>
  <c r="Z65" i="1"/>
  <c r="Z73" i="1"/>
  <c r="Z81" i="1"/>
  <c r="Z89" i="1"/>
  <c r="Z97" i="1"/>
  <c r="Z105" i="1"/>
  <c r="Z18" i="1"/>
  <c r="Z26" i="1"/>
  <c r="Z34" i="1"/>
  <c r="Z42" i="1"/>
  <c r="Z50" i="1"/>
  <c r="Z58" i="1"/>
  <c r="Z66" i="1"/>
  <c r="Z74" i="1"/>
  <c r="Z82" i="1"/>
  <c r="Z90" i="1"/>
  <c r="Z98" i="1"/>
  <c r="Z106" i="1"/>
  <c r="Z19" i="1"/>
  <c r="Z27" i="1"/>
  <c r="Z35" i="1"/>
  <c r="Z43" i="1"/>
  <c r="Z51" i="1"/>
  <c r="Z59" i="1"/>
  <c r="Z67" i="1"/>
  <c r="Z75" i="1"/>
  <c r="Z83" i="1"/>
  <c r="Z91" i="1"/>
  <c r="Z99" i="1"/>
  <c r="Z12" i="1"/>
  <c r="Z20" i="1"/>
  <c r="Z31" i="1"/>
  <c r="Z45" i="1"/>
  <c r="Z56" i="1"/>
  <c r="Z70" i="1"/>
  <c r="Z84" i="1"/>
  <c r="Z95" i="1"/>
  <c r="Z48" i="1"/>
  <c r="Z101" i="1"/>
  <c r="Z38" i="1"/>
  <c r="Z63" i="1"/>
  <c r="Z102" i="1"/>
  <c r="Z21" i="1"/>
  <c r="Z32" i="1"/>
  <c r="Z46" i="1"/>
  <c r="Z60" i="1"/>
  <c r="Z71" i="1"/>
  <c r="Z85" i="1"/>
  <c r="Z96" i="1"/>
  <c r="Z37" i="1"/>
  <c r="Z62" i="1"/>
  <c r="Z13" i="1"/>
  <c r="Z52" i="1"/>
  <c r="Z88" i="1"/>
  <c r="Z22" i="1"/>
  <c r="Z36" i="1"/>
  <c r="Z47" i="1"/>
  <c r="Z61" i="1"/>
  <c r="Z72" i="1"/>
  <c r="Z86" i="1"/>
  <c r="Z100" i="1"/>
  <c r="Z23" i="1"/>
  <c r="Z76" i="1"/>
  <c r="Z87" i="1"/>
  <c r="Z24" i="1"/>
  <c r="Z77" i="1"/>
  <c r="Z15" i="1"/>
  <c r="Z53" i="1"/>
  <c r="Z80" i="1"/>
  <c r="Z103" i="1"/>
  <c r="Z69" i="1"/>
  <c r="Z40" i="1"/>
  <c r="Z16" i="1"/>
  <c r="Z54" i="1"/>
  <c r="Z92" i="1"/>
  <c r="Z94" i="1"/>
  <c r="Z68" i="1"/>
  <c r="Z39" i="1"/>
  <c r="Z28" i="1"/>
  <c r="Z55" i="1"/>
  <c r="Z93" i="1"/>
  <c r="Z29" i="1"/>
  <c r="Z64" i="1"/>
  <c r="Z30" i="1"/>
  <c r="Z78" i="1"/>
  <c r="Z14" i="1"/>
  <c r="Z44" i="1"/>
  <c r="Z79" i="1"/>
  <c r="Z104" i="1"/>
  <c r="AQ56" i="1"/>
  <c r="AR22" i="1"/>
  <c r="AR30" i="1"/>
  <c r="AR38" i="1"/>
  <c r="AR46" i="1"/>
  <c r="AR54" i="1"/>
  <c r="AR62" i="1"/>
  <c r="AR70" i="1"/>
  <c r="AR78" i="1"/>
  <c r="AR86" i="1"/>
  <c r="AR94" i="1"/>
  <c r="AR102" i="1"/>
  <c r="AR14" i="1"/>
  <c r="AR15" i="1"/>
  <c r="AR23" i="1"/>
  <c r="AR31" i="1"/>
  <c r="AR39" i="1"/>
  <c r="AR47" i="1"/>
  <c r="AR55" i="1"/>
  <c r="AR63" i="1"/>
  <c r="AR71" i="1"/>
  <c r="AR79" i="1"/>
  <c r="AR87" i="1"/>
  <c r="AR95" i="1"/>
  <c r="AR103" i="1"/>
  <c r="AR16" i="1"/>
  <c r="AR24" i="1"/>
  <c r="AR32" i="1"/>
  <c r="AR40" i="1"/>
  <c r="AR48" i="1"/>
  <c r="AR56" i="1"/>
  <c r="AR64" i="1"/>
  <c r="AR72" i="1"/>
  <c r="AR80" i="1"/>
  <c r="AR88" i="1"/>
  <c r="AR96" i="1"/>
  <c r="AR104" i="1"/>
  <c r="AR25" i="1"/>
  <c r="AR36" i="1"/>
  <c r="AR50" i="1"/>
  <c r="AR61" i="1"/>
  <c r="AR75" i="1"/>
  <c r="AR89" i="1"/>
  <c r="AR100" i="1"/>
  <c r="AR28" i="1"/>
  <c r="AR67" i="1"/>
  <c r="AR106" i="1"/>
  <c r="AR43" i="1"/>
  <c r="AR82" i="1"/>
  <c r="AR26" i="1"/>
  <c r="AR37" i="1"/>
  <c r="AR51" i="1"/>
  <c r="AR65" i="1"/>
  <c r="AR76" i="1"/>
  <c r="AR90" i="1"/>
  <c r="AR101" i="1"/>
  <c r="AR42" i="1"/>
  <c r="AR81" i="1"/>
  <c r="AR18" i="1"/>
  <c r="AR57" i="1"/>
  <c r="AR93" i="1"/>
  <c r="AR27" i="1"/>
  <c r="AR41" i="1"/>
  <c r="AR52" i="1"/>
  <c r="AR66" i="1"/>
  <c r="AR77" i="1"/>
  <c r="AR91" i="1"/>
  <c r="AR105" i="1"/>
  <c r="AR17" i="1"/>
  <c r="AR53" i="1"/>
  <c r="AR92" i="1"/>
  <c r="AR29" i="1"/>
  <c r="AR68" i="1"/>
  <c r="AR11" i="1"/>
  <c r="AR34" i="1"/>
  <c r="AR69" i="1"/>
  <c r="AR99" i="1"/>
  <c r="AR45" i="1"/>
  <c r="AR19" i="1"/>
  <c r="AR84" i="1"/>
  <c r="AR85" i="1"/>
  <c r="AR97" i="1"/>
  <c r="AR35" i="1"/>
  <c r="AR73" i="1"/>
  <c r="AR12" i="1"/>
  <c r="AR83" i="1"/>
  <c r="AR21" i="1"/>
  <c r="AR44" i="1"/>
  <c r="AR74" i="1"/>
  <c r="AR13" i="1"/>
  <c r="AR49" i="1"/>
  <c r="AR58" i="1"/>
  <c r="AR59" i="1"/>
  <c r="AR33" i="1"/>
  <c r="AR60" i="1"/>
  <c r="AR98" i="1"/>
  <c r="AR20" i="1"/>
  <c r="AQ16" i="1"/>
  <c r="AQ88" i="1"/>
  <c r="AQ80" i="1"/>
  <c r="AQ24" i="1"/>
  <c r="AQ96" i="1"/>
  <c r="AQ32" i="1"/>
  <c r="AQ104" i="1"/>
  <c r="AQ40" i="1"/>
  <c r="AZ16" i="1"/>
  <c r="AZ24" i="1"/>
  <c r="AZ32" i="1"/>
  <c r="AZ40" i="1"/>
  <c r="AZ48" i="1"/>
  <c r="AZ56" i="1"/>
  <c r="AZ64" i="1"/>
  <c r="AZ72" i="1"/>
  <c r="AZ80" i="1"/>
  <c r="AZ88" i="1"/>
  <c r="AZ96" i="1"/>
  <c r="AZ104" i="1"/>
  <c r="AZ27" i="1"/>
  <c r="AZ17" i="1"/>
  <c r="AZ25" i="1"/>
  <c r="AZ33" i="1"/>
  <c r="AZ41" i="1"/>
  <c r="AZ49" i="1"/>
  <c r="AZ57" i="1"/>
  <c r="AZ65" i="1"/>
  <c r="AZ73" i="1"/>
  <c r="AZ81" i="1"/>
  <c r="AZ89" i="1"/>
  <c r="AZ97" i="1"/>
  <c r="AZ105" i="1"/>
  <c r="AZ19" i="1"/>
  <c r="AZ18" i="1"/>
  <c r="AZ26" i="1"/>
  <c r="AZ34" i="1"/>
  <c r="AZ42" i="1"/>
  <c r="AZ50" i="1"/>
  <c r="AZ58" i="1"/>
  <c r="AZ66" i="1"/>
  <c r="AZ74" i="1"/>
  <c r="AZ82" i="1"/>
  <c r="AZ90" i="1"/>
  <c r="AZ98" i="1"/>
  <c r="AZ106" i="1"/>
  <c r="AZ35" i="1"/>
  <c r="AZ43" i="1"/>
  <c r="AZ51" i="1"/>
  <c r="AZ59" i="1"/>
  <c r="AZ67" i="1"/>
  <c r="AZ75" i="1"/>
  <c r="AZ83" i="1"/>
  <c r="AZ91" i="1"/>
  <c r="AZ99" i="1"/>
  <c r="AZ15" i="1"/>
  <c r="AZ20" i="1"/>
  <c r="AZ21" i="1"/>
  <c r="AZ37" i="1"/>
  <c r="AZ53" i="1"/>
  <c r="AZ69" i="1"/>
  <c r="AZ85" i="1"/>
  <c r="AZ101" i="1"/>
  <c r="AZ45" i="1"/>
  <c r="AZ78" i="1"/>
  <c r="AZ79" i="1"/>
  <c r="AZ84" i="1"/>
  <c r="AZ22" i="1"/>
  <c r="AZ38" i="1"/>
  <c r="AZ54" i="1"/>
  <c r="AZ70" i="1"/>
  <c r="AZ86" i="1"/>
  <c r="AZ102" i="1"/>
  <c r="AZ61" i="1"/>
  <c r="AZ62" i="1"/>
  <c r="AZ63" i="1"/>
  <c r="AZ68" i="1"/>
  <c r="AZ23" i="1"/>
  <c r="AZ39" i="1"/>
  <c r="AZ55" i="1"/>
  <c r="AZ71" i="1"/>
  <c r="AZ87" i="1"/>
  <c r="AZ103" i="1"/>
  <c r="AZ29" i="1"/>
  <c r="AZ30" i="1"/>
  <c r="AZ94" i="1"/>
  <c r="AZ47" i="1"/>
  <c r="AZ52" i="1"/>
  <c r="AZ28" i="1"/>
  <c r="AZ44" i="1"/>
  <c r="AZ60" i="1"/>
  <c r="AZ76" i="1"/>
  <c r="AZ92" i="1"/>
  <c r="AZ77" i="1"/>
  <c r="AZ93" i="1"/>
  <c r="AZ46" i="1"/>
  <c r="AZ31" i="1"/>
  <c r="AZ95" i="1"/>
  <c r="AZ36" i="1"/>
  <c r="AZ100" i="1"/>
  <c r="AH21" i="1"/>
  <c r="AH29" i="1"/>
  <c r="AH37" i="1"/>
  <c r="AH45" i="1"/>
  <c r="AH53" i="1"/>
  <c r="AH61" i="1"/>
  <c r="AH69" i="1"/>
  <c r="AH77" i="1"/>
  <c r="AH85" i="1"/>
  <c r="AH93" i="1"/>
  <c r="AH101" i="1"/>
  <c r="AH24" i="1"/>
  <c r="AH48" i="1"/>
  <c r="AH72" i="1"/>
  <c r="AH96" i="1"/>
  <c r="AH14" i="1"/>
  <c r="AH22" i="1"/>
  <c r="AH30" i="1"/>
  <c r="AH38" i="1"/>
  <c r="AH46" i="1"/>
  <c r="AH54" i="1"/>
  <c r="AH62" i="1"/>
  <c r="AH70" i="1"/>
  <c r="AH78" i="1"/>
  <c r="AH86" i="1"/>
  <c r="AH94" i="1"/>
  <c r="AH102" i="1"/>
  <c r="AH16" i="1"/>
  <c r="AH40" i="1"/>
  <c r="AH64" i="1"/>
  <c r="AH88" i="1"/>
  <c r="AH15" i="1"/>
  <c r="AH23" i="1"/>
  <c r="AH31" i="1"/>
  <c r="AH39" i="1"/>
  <c r="AH47" i="1"/>
  <c r="AH55" i="1"/>
  <c r="AH63" i="1"/>
  <c r="AH71" i="1"/>
  <c r="AH79" i="1"/>
  <c r="AH87" i="1"/>
  <c r="AH95" i="1"/>
  <c r="AH103" i="1"/>
  <c r="AH32" i="1"/>
  <c r="AH56" i="1"/>
  <c r="AH80" i="1"/>
  <c r="AH104" i="1"/>
  <c r="AH18" i="1"/>
  <c r="AH34" i="1"/>
  <c r="AH50" i="1"/>
  <c r="AH66" i="1"/>
  <c r="AH82" i="1"/>
  <c r="AH98" i="1"/>
  <c r="AH60" i="1"/>
  <c r="AH17" i="1"/>
  <c r="AH19" i="1"/>
  <c r="AH35" i="1"/>
  <c r="AH51" i="1"/>
  <c r="AH67" i="1"/>
  <c r="AH83" i="1"/>
  <c r="AH99" i="1"/>
  <c r="AH42" i="1"/>
  <c r="AH90" i="1"/>
  <c r="AH59" i="1"/>
  <c r="AH76" i="1"/>
  <c r="AH65" i="1"/>
  <c r="AH97" i="1"/>
  <c r="AH20" i="1"/>
  <c r="AH36" i="1"/>
  <c r="AH52" i="1"/>
  <c r="AH68" i="1"/>
  <c r="AH84" i="1"/>
  <c r="AH100" i="1"/>
  <c r="AH58" i="1"/>
  <c r="AH106" i="1"/>
  <c r="AH43" i="1"/>
  <c r="AH75" i="1"/>
  <c r="AH13" i="1"/>
  <c r="AH44" i="1"/>
  <c r="AH33" i="1"/>
  <c r="AH81" i="1"/>
  <c r="AH25" i="1"/>
  <c r="AH41" i="1"/>
  <c r="AH57" i="1"/>
  <c r="AH73" i="1"/>
  <c r="AH89" i="1"/>
  <c r="AH105" i="1"/>
  <c r="AH26" i="1"/>
  <c r="AH74" i="1"/>
  <c r="AH27" i="1"/>
  <c r="AH91" i="1"/>
  <c r="AH28" i="1"/>
  <c r="AH92" i="1"/>
  <c r="AH49" i="1"/>
  <c r="Y17" i="1"/>
  <c r="Y25" i="1"/>
  <c r="Y33" i="1"/>
  <c r="Y41" i="1"/>
  <c r="Y49" i="1"/>
  <c r="Y57" i="1"/>
  <c r="Y65" i="1"/>
  <c r="Y73" i="1"/>
  <c r="Y81" i="1"/>
  <c r="Y89" i="1"/>
  <c r="Y97" i="1"/>
  <c r="Y105" i="1"/>
  <c r="Y20" i="1"/>
  <c r="Y36" i="1"/>
  <c r="Y52" i="1"/>
  <c r="Y76" i="1"/>
  <c r="Y100" i="1"/>
  <c r="Y18" i="1"/>
  <c r="Y26" i="1"/>
  <c r="Y34" i="1"/>
  <c r="Y42" i="1"/>
  <c r="Y50" i="1"/>
  <c r="Y58" i="1"/>
  <c r="Y66" i="1"/>
  <c r="Y74" i="1"/>
  <c r="Y82" i="1"/>
  <c r="Y90" i="1"/>
  <c r="Y98" i="1"/>
  <c r="Y106" i="1"/>
  <c r="Y44" i="1"/>
  <c r="Y68" i="1"/>
  <c r="Y92" i="1"/>
  <c r="Y19" i="1"/>
  <c r="Y27" i="1"/>
  <c r="Y35" i="1"/>
  <c r="Y43" i="1"/>
  <c r="Y51" i="1"/>
  <c r="Y59" i="1"/>
  <c r="Y67" i="1"/>
  <c r="Y75" i="1"/>
  <c r="Y83" i="1"/>
  <c r="Y91" i="1"/>
  <c r="Y99" i="1"/>
  <c r="Y12" i="1"/>
  <c r="Y28" i="1"/>
  <c r="Y60" i="1"/>
  <c r="Y84" i="1"/>
  <c r="Y23" i="1"/>
  <c r="Y39" i="1"/>
  <c r="Y55" i="1"/>
  <c r="Y71" i="1"/>
  <c r="Y87" i="1"/>
  <c r="Y103" i="1"/>
  <c r="Y31" i="1"/>
  <c r="Y63" i="1"/>
  <c r="Y16" i="1"/>
  <c r="Y80" i="1"/>
  <c r="Y37" i="1"/>
  <c r="Y101" i="1"/>
  <c r="Y38" i="1"/>
  <c r="Y24" i="1"/>
  <c r="Y40" i="1"/>
  <c r="Y56" i="1"/>
  <c r="Y72" i="1"/>
  <c r="Y88" i="1"/>
  <c r="Y104" i="1"/>
  <c r="Y95" i="1"/>
  <c r="Y32" i="1"/>
  <c r="Y96" i="1"/>
  <c r="Y69" i="1"/>
  <c r="Y22" i="1"/>
  <c r="Y86" i="1"/>
  <c r="Y13" i="1"/>
  <c r="Y29" i="1"/>
  <c r="Y45" i="1"/>
  <c r="Y61" i="1"/>
  <c r="Y77" i="1"/>
  <c r="Y93" i="1"/>
  <c r="Y15" i="1"/>
  <c r="Y79" i="1"/>
  <c r="Y48" i="1"/>
  <c r="Y53" i="1"/>
  <c r="Y54" i="1"/>
  <c r="Y102" i="1"/>
  <c r="Y14" i="1"/>
  <c r="Y30" i="1"/>
  <c r="Y46" i="1"/>
  <c r="Y62" i="1"/>
  <c r="Y78" i="1"/>
  <c r="Y94" i="1"/>
  <c r="Y47" i="1"/>
  <c r="Y64" i="1"/>
  <c r="Y21" i="1"/>
  <c r="Y85" i="1"/>
  <c r="Y70" i="1"/>
  <c r="AQ23" i="1"/>
  <c r="AQ33" i="1"/>
  <c r="AQ42" i="1"/>
  <c r="AQ51" i="1"/>
  <c r="AQ60" i="1"/>
  <c r="AQ69" i="1"/>
  <c r="AQ78" i="1"/>
  <c r="AQ87" i="1"/>
  <c r="AQ97" i="1"/>
  <c r="AQ106" i="1"/>
  <c r="AQ27" i="1"/>
  <c r="AQ63" i="1"/>
  <c r="AQ91" i="1"/>
  <c r="AQ15" i="1"/>
  <c r="AQ25" i="1"/>
  <c r="AQ34" i="1"/>
  <c r="AQ43" i="1"/>
  <c r="AQ52" i="1"/>
  <c r="AQ61" i="1"/>
  <c r="AQ70" i="1"/>
  <c r="AQ79" i="1"/>
  <c r="AQ89" i="1"/>
  <c r="AQ98" i="1"/>
  <c r="AQ36" i="1"/>
  <c r="AQ82" i="1"/>
  <c r="AQ17" i="1"/>
  <c r="AQ26" i="1"/>
  <c r="AQ35" i="1"/>
  <c r="AQ44" i="1"/>
  <c r="AQ53" i="1"/>
  <c r="AQ62" i="1"/>
  <c r="AQ71" i="1"/>
  <c r="AQ81" i="1"/>
  <c r="AQ90" i="1"/>
  <c r="AQ99" i="1"/>
  <c r="AQ18" i="1"/>
  <c r="AQ45" i="1"/>
  <c r="AQ54" i="1"/>
  <c r="AQ73" i="1"/>
  <c r="AQ100" i="1"/>
  <c r="AQ20" i="1"/>
  <c r="AQ38" i="1"/>
  <c r="AQ57" i="1"/>
  <c r="AQ75" i="1"/>
  <c r="AQ93" i="1"/>
  <c r="AQ47" i="1"/>
  <c r="AQ31" i="1"/>
  <c r="AQ86" i="1"/>
  <c r="AQ14" i="1"/>
  <c r="AQ21" i="1"/>
  <c r="AQ39" i="1"/>
  <c r="AQ58" i="1"/>
  <c r="AQ76" i="1"/>
  <c r="AQ94" i="1"/>
  <c r="AQ103" i="1"/>
  <c r="AQ68" i="1"/>
  <c r="AQ105" i="1"/>
  <c r="AQ74" i="1"/>
  <c r="AQ22" i="1"/>
  <c r="AQ41" i="1"/>
  <c r="AQ59" i="1"/>
  <c r="AQ77" i="1"/>
  <c r="AQ95" i="1"/>
  <c r="AQ84" i="1"/>
  <c r="AQ30" i="1"/>
  <c r="AQ49" i="1"/>
  <c r="AQ85" i="1"/>
  <c r="AQ37" i="1"/>
  <c r="AQ28" i="1"/>
  <c r="AQ46" i="1"/>
  <c r="AQ65" i="1"/>
  <c r="AQ83" i="1"/>
  <c r="AQ101" i="1"/>
  <c r="AQ29" i="1"/>
  <c r="AQ66" i="1"/>
  <c r="AQ102" i="1"/>
  <c r="AQ67" i="1"/>
  <c r="AQ50" i="1"/>
  <c r="AQ19" i="1"/>
  <c r="AQ55" i="1"/>
  <c r="AQ92" i="1"/>
  <c r="AQ10" i="1" l="1"/>
  <c r="AH10" i="1"/>
  <c r="AV34" i="1"/>
  <c r="AU34" i="1"/>
  <c r="AT34" i="1"/>
  <c r="AS34" i="1"/>
  <c r="AU88" i="1"/>
  <c r="AV88" i="1"/>
  <c r="AT88" i="1"/>
  <c r="AS88" i="1"/>
  <c r="AT55" i="1"/>
  <c r="AS55" i="1"/>
  <c r="AV55" i="1"/>
  <c r="AU55" i="1"/>
  <c r="AL86" i="1"/>
  <c r="AJ86" i="1"/>
  <c r="AK86" i="1"/>
  <c r="AM86" i="1"/>
  <c r="AJ30" i="1"/>
  <c r="AK30" i="1"/>
  <c r="AL30" i="1"/>
  <c r="AM30" i="1"/>
  <c r="AJ75" i="1"/>
  <c r="AM75" i="1"/>
  <c r="AK75" i="1"/>
  <c r="AL75" i="1"/>
  <c r="BD103" i="1"/>
  <c r="BE103" i="1"/>
  <c r="BC103" i="1"/>
  <c r="BB103" i="1"/>
  <c r="BB59" i="1"/>
  <c r="BC59" i="1"/>
  <c r="BE59" i="1"/>
  <c r="BD59" i="1"/>
  <c r="BC74" i="1"/>
  <c r="BB74" i="1"/>
  <c r="BE74" i="1"/>
  <c r="BD74" i="1"/>
  <c r="BC46" i="1"/>
  <c r="BB46" i="1"/>
  <c r="BE46" i="1"/>
  <c r="BD46" i="1"/>
  <c r="AT75" i="1"/>
  <c r="AV75" i="1"/>
  <c r="AU75" i="1"/>
  <c r="AS75" i="1"/>
  <c r="AV22" i="1"/>
  <c r="AS22" i="1"/>
  <c r="AU22" i="1"/>
  <c r="AT22" i="1"/>
  <c r="AJ63" i="1"/>
  <c r="AK63" i="1"/>
  <c r="AL63" i="1"/>
  <c r="AM63" i="1"/>
  <c r="AJ16" i="1"/>
  <c r="AK16" i="1"/>
  <c r="AM16" i="1"/>
  <c r="AL16" i="1"/>
  <c r="AL100" i="1"/>
  <c r="AJ100" i="1"/>
  <c r="AM100" i="1"/>
  <c r="AK100" i="1"/>
  <c r="BC104" i="1"/>
  <c r="BB104" i="1"/>
  <c r="BE104" i="1"/>
  <c r="BD104" i="1"/>
  <c r="BB41" i="1"/>
  <c r="BC41" i="1"/>
  <c r="BE41" i="1"/>
  <c r="BD41" i="1"/>
  <c r="BC38" i="1"/>
  <c r="BB38" i="1"/>
  <c r="BE38" i="1"/>
  <c r="BD38" i="1"/>
  <c r="AV20" i="1"/>
  <c r="AU20" i="1"/>
  <c r="AT20" i="1"/>
  <c r="AS20" i="1"/>
  <c r="AU42" i="1"/>
  <c r="AS42" i="1"/>
  <c r="AV42" i="1"/>
  <c r="AT42" i="1"/>
  <c r="AT103" i="1"/>
  <c r="AS103" i="1"/>
  <c r="AV103" i="1"/>
  <c r="AU103" i="1"/>
  <c r="AJ25" i="1"/>
  <c r="AK25" i="1"/>
  <c r="AL25" i="1"/>
  <c r="AM25" i="1"/>
  <c r="AJ97" i="1"/>
  <c r="AK97" i="1"/>
  <c r="AL97" i="1"/>
  <c r="AM97" i="1"/>
  <c r="AL92" i="1"/>
  <c r="AK92" i="1"/>
  <c r="AM92" i="1"/>
  <c r="AJ92" i="1"/>
  <c r="BC76" i="1"/>
  <c r="BB76" i="1"/>
  <c r="BE76" i="1"/>
  <c r="BD76" i="1"/>
  <c r="BC79" i="1"/>
  <c r="BB79" i="1"/>
  <c r="BE79" i="1"/>
  <c r="BD79" i="1"/>
  <c r="BC28" i="1"/>
  <c r="BB28" i="1"/>
  <c r="BE28" i="1"/>
  <c r="BD28" i="1"/>
  <c r="BC30" i="1"/>
  <c r="BB30" i="1"/>
  <c r="BE30" i="1"/>
  <c r="BD30" i="1"/>
  <c r="AU84" i="1"/>
  <c r="AT84" i="1"/>
  <c r="AV84" i="1"/>
  <c r="AS84" i="1"/>
  <c r="AT101" i="1"/>
  <c r="AS101" i="1"/>
  <c r="AV101" i="1"/>
  <c r="AU101" i="1"/>
  <c r="AV95" i="1"/>
  <c r="AS95" i="1"/>
  <c r="AU95" i="1"/>
  <c r="AT95" i="1"/>
  <c r="AL88" i="1"/>
  <c r="AJ88" i="1"/>
  <c r="AK88" i="1"/>
  <c r="AM88" i="1"/>
  <c r="AM71" i="1"/>
  <c r="AK71" i="1"/>
  <c r="AL71" i="1"/>
  <c r="AJ71" i="1"/>
  <c r="AJ61" i="1"/>
  <c r="AK61" i="1"/>
  <c r="AL61" i="1"/>
  <c r="AM61" i="1"/>
  <c r="BB53" i="1"/>
  <c r="BC53" i="1"/>
  <c r="BE53" i="1"/>
  <c r="BD53" i="1"/>
  <c r="AU58" i="1"/>
  <c r="AV58" i="1"/>
  <c r="AT58" i="1"/>
  <c r="AS58" i="1"/>
  <c r="AS73" i="1"/>
  <c r="AU73" i="1"/>
  <c r="AT73" i="1"/>
  <c r="AV73" i="1"/>
  <c r="AS69" i="1"/>
  <c r="AU69" i="1"/>
  <c r="AT69" i="1"/>
  <c r="AV69" i="1"/>
  <c r="AT105" i="1"/>
  <c r="AS105" i="1"/>
  <c r="AV105" i="1"/>
  <c r="AU105" i="1"/>
  <c r="AS57" i="1"/>
  <c r="AV57" i="1"/>
  <c r="AU57" i="1"/>
  <c r="AT57" i="1"/>
  <c r="AV51" i="1"/>
  <c r="AU51" i="1"/>
  <c r="AT51" i="1"/>
  <c r="AS51" i="1"/>
  <c r="AU100" i="1"/>
  <c r="AT100" i="1"/>
  <c r="AV100" i="1"/>
  <c r="AS100" i="1"/>
  <c r="AU96" i="1"/>
  <c r="AV96" i="1"/>
  <c r="AT96" i="1"/>
  <c r="AS96" i="1"/>
  <c r="AV32" i="1"/>
  <c r="AU32" i="1"/>
  <c r="AT32" i="1"/>
  <c r="AS32" i="1"/>
  <c r="AV63" i="1"/>
  <c r="AS63" i="1"/>
  <c r="AU63" i="1"/>
  <c r="AT63" i="1"/>
  <c r="AV102" i="1"/>
  <c r="AU102" i="1"/>
  <c r="AT102" i="1"/>
  <c r="AS102" i="1"/>
  <c r="AV38" i="1"/>
  <c r="AU38" i="1"/>
  <c r="AT38" i="1"/>
  <c r="AS38" i="1"/>
  <c r="AM103" i="1"/>
  <c r="AK103" i="1"/>
  <c r="AL103" i="1"/>
  <c r="AJ103" i="1"/>
  <c r="AK73" i="1"/>
  <c r="AL73" i="1"/>
  <c r="AM73" i="1"/>
  <c r="AJ73" i="1"/>
  <c r="AJ24" i="1"/>
  <c r="AK24" i="1"/>
  <c r="AL24" i="1"/>
  <c r="AM24" i="1"/>
  <c r="AJ81" i="1"/>
  <c r="AK81" i="1"/>
  <c r="AL81" i="1"/>
  <c r="AM81" i="1"/>
  <c r="AL96" i="1"/>
  <c r="AJ96" i="1"/>
  <c r="AM96" i="1"/>
  <c r="AK96" i="1"/>
  <c r="AK41" i="1"/>
  <c r="AM41" i="1"/>
  <c r="AL41" i="1"/>
  <c r="AJ41" i="1"/>
  <c r="AL90" i="1"/>
  <c r="AJ90" i="1"/>
  <c r="AK90" i="1"/>
  <c r="AM90" i="1"/>
  <c r="AJ93" i="1"/>
  <c r="AK93" i="1"/>
  <c r="AL93" i="1"/>
  <c r="AM93" i="1"/>
  <c r="AJ29" i="1"/>
  <c r="AL29" i="1"/>
  <c r="AM29" i="1"/>
  <c r="AK29" i="1"/>
  <c r="AL52" i="1"/>
  <c r="AJ52" i="1"/>
  <c r="AK52" i="1"/>
  <c r="AM52" i="1"/>
  <c r="AK83" i="1"/>
  <c r="AL83" i="1"/>
  <c r="AM83" i="1"/>
  <c r="AJ83" i="1"/>
  <c r="AJ19" i="1"/>
  <c r="AK19" i="1"/>
  <c r="AL19" i="1"/>
  <c r="AM19" i="1"/>
  <c r="BB27" i="1"/>
  <c r="BD27" i="1"/>
  <c r="BC27" i="1"/>
  <c r="BE27" i="1"/>
  <c r="BC88" i="1"/>
  <c r="BB88" i="1"/>
  <c r="BE88" i="1"/>
  <c r="BD88" i="1"/>
  <c r="BB57" i="1"/>
  <c r="BE57" i="1"/>
  <c r="BD57" i="1"/>
  <c r="BC57" i="1"/>
  <c r="BD87" i="1"/>
  <c r="BC87" i="1"/>
  <c r="BE87" i="1"/>
  <c r="BB87" i="1"/>
  <c r="BC72" i="1"/>
  <c r="BB72" i="1"/>
  <c r="BE72" i="1"/>
  <c r="BD72" i="1"/>
  <c r="BC68" i="1"/>
  <c r="BB68" i="1"/>
  <c r="BE68" i="1"/>
  <c r="BD68" i="1"/>
  <c r="BE67" i="1"/>
  <c r="BC67" i="1"/>
  <c r="BB67" i="1"/>
  <c r="BD67" i="1"/>
  <c r="BC82" i="1"/>
  <c r="BB82" i="1"/>
  <c r="BE82" i="1"/>
  <c r="BD82" i="1"/>
  <c r="BC18" i="1"/>
  <c r="BB18" i="1"/>
  <c r="BE18" i="1"/>
  <c r="BD18" i="1"/>
  <c r="BC54" i="1"/>
  <c r="BB54" i="1"/>
  <c r="BE54" i="1"/>
  <c r="BD54" i="1"/>
  <c r="BB85" i="1"/>
  <c r="BE85" i="1"/>
  <c r="BD85" i="1"/>
  <c r="BC85" i="1"/>
  <c r="BE21" i="1"/>
  <c r="BD21" i="1"/>
  <c r="BC21" i="1"/>
  <c r="BB21" i="1"/>
  <c r="AS35" i="1"/>
  <c r="AV35" i="1"/>
  <c r="AU35" i="1"/>
  <c r="AT35" i="1"/>
  <c r="AV18" i="1"/>
  <c r="AU18" i="1"/>
  <c r="AT18" i="1"/>
  <c r="AS18" i="1"/>
  <c r="AV24" i="1"/>
  <c r="AU24" i="1"/>
  <c r="AT24" i="1"/>
  <c r="AS24" i="1"/>
  <c r="AL70" i="1"/>
  <c r="AJ70" i="1"/>
  <c r="AK70" i="1"/>
  <c r="AM70" i="1"/>
  <c r="AJ79" i="1"/>
  <c r="AK79" i="1"/>
  <c r="AL79" i="1"/>
  <c r="AM79" i="1"/>
  <c r="AL44" i="1"/>
  <c r="AK44" i="1"/>
  <c r="AM44" i="1"/>
  <c r="AJ44" i="1"/>
  <c r="BB75" i="1"/>
  <c r="BE75" i="1"/>
  <c r="BC75" i="1"/>
  <c r="BD75" i="1"/>
  <c r="BC56" i="1"/>
  <c r="BB56" i="1"/>
  <c r="BE56" i="1"/>
  <c r="BD56" i="1"/>
  <c r="BE77" i="1"/>
  <c r="BC77" i="1"/>
  <c r="BD77" i="1"/>
  <c r="BB77" i="1"/>
  <c r="AT81" i="1"/>
  <c r="AS81" i="1"/>
  <c r="AU81" i="1"/>
  <c r="AV81" i="1"/>
  <c r="AV47" i="1"/>
  <c r="AT47" i="1"/>
  <c r="AS47" i="1"/>
  <c r="AU47" i="1"/>
  <c r="AJ18" i="1"/>
  <c r="AK18" i="1"/>
  <c r="AL18" i="1"/>
  <c r="AM18" i="1"/>
  <c r="AK67" i="1"/>
  <c r="AL67" i="1"/>
  <c r="AM67" i="1"/>
  <c r="AJ67" i="1"/>
  <c r="BC20" i="1"/>
  <c r="BB20" i="1"/>
  <c r="BE20" i="1"/>
  <c r="BD20" i="1"/>
  <c r="AU68" i="1"/>
  <c r="AT68" i="1"/>
  <c r="AS68" i="1"/>
  <c r="AV68" i="1"/>
  <c r="AU72" i="1"/>
  <c r="AV72" i="1"/>
  <c r="AT72" i="1"/>
  <c r="AS72" i="1"/>
  <c r="AM87" i="1"/>
  <c r="AJ87" i="1"/>
  <c r="AL87" i="1"/>
  <c r="AK87" i="1"/>
  <c r="AL42" i="1"/>
  <c r="AJ42" i="1"/>
  <c r="AK42" i="1"/>
  <c r="AM42" i="1"/>
  <c r="AJ28" i="1"/>
  <c r="AK28" i="1"/>
  <c r="AL28" i="1"/>
  <c r="AM28" i="1"/>
  <c r="BC48" i="1"/>
  <c r="BB48" i="1"/>
  <c r="BE48" i="1"/>
  <c r="BD48" i="1"/>
  <c r="BC94" i="1"/>
  <c r="BB94" i="1"/>
  <c r="BE94" i="1"/>
  <c r="BD94" i="1"/>
  <c r="AU44" i="1"/>
  <c r="AV44" i="1"/>
  <c r="AT44" i="1"/>
  <c r="AS44" i="1"/>
  <c r="AU52" i="1"/>
  <c r="AT52" i="1"/>
  <c r="AV52" i="1"/>
  <c r="AS52" i="1"/>
  <c r="AU50" i="1"/>
  <c r="AS50" i="1"/>
  <c r="AV50" i="1"/>
  <c r="AT50" i="1"/>
  <c r="AV31" i="1"/>
  <c r="AU31" i="1"/>
  <c r="AT31" i="1"/>
  <c r="AS31" i="1"/>
  <c r="AJ49" i="1"/>
  <c r="AK49" i="1"/>
  <c r="AL49" i="1"/>
  <c r="AM49" i="1"/>
  <c r="AL94" i="1"/>
  <c r="AM94" i="1"/>
  <c r="AJ94" i="1"/>
  <c r="AK94" i="1"/>
  <c r="AL40" i="1"/>
  <c r="AJ40" i="1"/>
  <c r="AK40" i="1"/>
  <c r="AM40" i="1"/>
  <c r="AJ20" i="1"/>
  <c r="AK20" i="1"/>
  <c r="AL20" i="1"/>
  <c r="AM20" i="1"/>
  <c r="AK51" i="1"/>
  <c r="AL51" i="1"/>
  <c r="AM51" i="1"/>
  <c r="AJ51" i="1"/>
  <c r="BE83" i="1"/>
  <c r="BD83" i="1"/>
  <c r="BC83" i="1"/>
  <c r="BB83" i="1"/>
  <c r="BC64" i="1"/>
  <c r="BB64" i="1"/>
  <c r="BE64" i="1"/>
  <c r="BD64" i="1"/>
  <c r="BC36" i="1"/>
  <c r="BB36" i="1"/>
  <c r="BE36" i="1"/>
  <c r="BD36" i="1"/>
  <c r="BC52" i="1"/>
  <c r="BB52" i="1"/>
  <c r="BE52" i="1"/>
  <c r="BD52" i="1"/>
  <c r="BD35" i="1"/>
  <c r="BC35" i="1"/>
  <c r="BB35" i="1"/>
  <c r="BE35" i="1"/>
  <c r="BC44" i="1"/>
  <c r="BB44" i="1"/>
  <c r="BE44" i="1"/>
  <c r="BD44" i="1"/>
  <c r="BC17" i="1"/>
  <c r="BE17" i="1"/>
  <c r="BD17" i="1"/>
  <c r="BB17" i="1"/>
  <c r="BC16" i="1"/>
  <c r="BB16" i="1"/>
  <c r="BE16" i="1"/>
  <c r="BD16" i="1"/>
  <c r="BC50" i="1"/>
  <c r="BB50" i="1"/>
  <c r="BE50" i="1"/>
  <c r="BD50" i="1"/>
  <c r="BC86" i="1"/>
  <c r="BB86" i="1"/>
  <c r="BE86" i="1"/>
  <c r="BD86" i="1"/>
  <c r="AU60" i="1"/>
  <c r="AT60" i="1"/>
  <c r="AS60" i="1"/>
  <c r="AV60" i="1"/>
  <c r="AT21" i="1"/>
  <c r="AS21" i="1"/>
  <c r="AU21" i="1"/>
  <c r="AV21" i="1"/>
  <c r="AS19" i="1"/>
  <c r="AV19" i="1"/>
  <c r="AU19" i="1"/>
  <c r="AT19" i="1"/>
  <c r="AU92" i="1"/>
  <c r="AV92" i="1"/>
  <c r="AT92" i="1"/>
  <c r="AS92" i="1"/>
  <c r="AS41" i="1"/>
  <c r="AV41" i="1"/>
  <c r="AU41" i="1"/>
  <c r="AT41" i="1"/>
  <c r="AU90" i="1"/>
  <c r="AS90" i="1"/>
  <c r="AV90" i="1"/>
  <c r="AT90" i="1"/>
  <c r="AV106" i="1"/>
  <c r="AU106" i="1"/>
  <c r="AT106" i="1"/>
  <c r="AS106" i="1"/>
  <c r="AV36" i="1"/>
  <c r="AU36" i="1"/>
  <c r="AT36" i="1"/>
  <c r="AS36" i="1"/>
  <c r="AU56" i="1"/>
  <c r="AS56" i="1"/>
  <c r="AT56" i="1"/>
  <c r="AV56" i="1"/>
  <c r="AV87" i="1"/>
  <c r="AS87" i="1"/>
  <c r="AU87" i="1"/>
  <c r="AT87" i="1"/>
  <c r="AU23" i="1"/>
  <c r="AT23" i="1"/>
  <c r="AS23" i="1"/>
  <c r="AV23" i="1"/>
  <c r="AU62" i="1"/>
  <c r="AV62" i="1"/>
  <c r="AT62" i="1"/>
  <c r="AS62" i="1"/>
  <c r="AL50" i="1"/>
  <c r="AK50" i="1"/>
  <c r="AM50" i="1"/>
  <c r="AJ50" i="1"/>
  <c r="AJ14" i="1"/>
  <c r="AL14" i="1"/>
  <c r="AM14" i="1"/>
  <c r="AK14" i="1"/>
  <c r="AL78" i="1"/>
  <c r="AM78" i="1"/>
  <c r="AK78" i="1"/>
  <c r="AJ78" i="1"/>
  <c r="AJ32" i="1"/>
  <c r="AK32" i="1"/>
  <c r="AL32" i="1"/>
  <c r="AM32" i="1"/>
  <c r="AJ17" i="1"/>
  <c r="AM17" i="1"/>
  <c r="AL17" i="1"/>
  <c r="AK17" i="1"/>
  <c r="AL80" i="1"/>
  <c r="AK80" i="1"/>
  <c r="AM80" i="1"/>
  <c r="AJ80" i="1"/>
  <c r="AL82" i="1"/>
  <c r="AK82" i="1"/>
  <c r="AM82" i="1"/>
  <c r="AJ82" i="1"/>
  <c r="AJ26" i="1"/>
  <c r="AK26" i="1"/>
  <c r="AL26" i="1"/>
  <c r="AM26" i="1"/>
  <c r="AL53" i="1"/>
  <c r="AM53" i="1"/>
  <c r="AJ53" i="1"/>
  <c r="AK53" i="1"/>
  <c r="AL76" i="1"/>
  <c r="AK76" i="1"/>
  <c r="AM76" i="1"/>
  <c r="AJ76" i="1"/>
  <c r="AM13" i="1"/>
  <c r="AL13" i="1"/>
  <c r="AJ13" i="1"/>
  <c r="AK13" i="1"/>
  <c r="AJ43" i="1"/>
  <c r="AM43" i="1"/>
  <c r="AK43" i="1"/>
  <c r="AL43" i="1"/>
  <c r="BB19" i="1"/>
  <c r="BC19" i="1"/>
  <c r="BD19" i="1"/>
  <c r="BE19" i="1"/>
  <c r="BD51" i="1"/>
  <c r="BE51" i="1"/>
  <c r="BC51" i="1"/>
  <c r="BB51" i="1"/>
  <c r="BC24" i="1"/>
  <c r="BB24" i="1"/>
  <c r="BE24" i="1"/>
  <c r="BD24" i="1"/>
  <c r="BC40" i="1"/>
  <c r="BB40" i="1"/>
  <c r="BE40" i="1"/>
  <c r="BD40" i="1"/>
  <c r="BD23" i="1"/>
  <c r="BC23" i="1"/>
  <c r="BB23" i="1"/>
  <c r="BE23" i="1"/>
  <c r="BD105" i="1"/>
  <c r="BB105" i="1"/>
  <c r="BE105" i="1"/>
  <c r="BC105" i="1"/>
  <c r="BC106" i="1"/>
  <c r="BB106" i="1"/>
  <c r="BE106" i="1"/>
  <c r="BD106" i="1"/>
  <c r="BC42" i="1"/>
  <c r="BB42" i="1"/>
  <c r="BE42" i="1"/>
  <c r="BD42" i="1"/>
  <c r="BC78" i="1"/>
  <c r="BB78" i="1"/>
  <c r="BE78" i="1"/>
  <c r="BD78" i="1"/>
  <c r="BC14" i="1"/>
  <c r="BB14" i="1"/>
  <c r="BE14" i="1"/>
  <c r="BD14" i="1"/>
  <c r="BE45" i="1"/>
  <c r="BD45" i="1"/>
  <c r="BC45" i="1"/>
  <c r="BB45" i="1"/>
  <c r="AV49" i="1"/>
  <c r="AU49" i="1"/>
  <c r="AT49" i="1"/>
  <c r="AS49" i="1"/>
  <c r="AT37" i="1"/>
  <c r="AS37" i="1"/>
  <c r="AV37" i="1"/>
  <c r="AU37" i="1"/>
  <c r="AU94" i="1"/>
  <c r="AT94" i="1"/>
  <c r="AS94" i="1"/>
  <c r="AV94" i="1"/>
  <c r="AJ38" i="1"/>
  <c r="AL38" i="1"/>
  <c r="AK38" i="1"/>
  <c r="AM38" i="1"/>
  <c r="AJ57" i="1"/>
  <c r="AL57" i="1"/>
  <c r="AM57" i="1"/>
  <c r="AK57" i="1"/>
  <c r="AL85" i="1"/>
  <c r="AM85" i="1"/>
  <c r="AJ85" i="1"/>
  <c r="AK85" i="1"/>
  <c r="BD73" i="1"/>
  <c r="BC73" i="1"/>
  <c r="BB73" i="1"/>
  <c r="BE73" i="1"/>
  <c r="BD55" i="1"/>
  <c r="BC55" i="1"/>
  <c r="BE55" i="1"/>
  <c r="BB55" i="1"/>
  <c r="BC15" i="1"/>
  <c r="BB15" i="1"/>
  <c r="BE15" i="1"/>
  <c r="BD15" i="1"/>
  <c r="AV13" i="1"/>
  <c r="AU13" i="1"/>
  <c r="AT13" i="1"/>
  <c r="AS13" i="1"/>
  <c r="AU77" i="1"/>
  <c r="AS77" i="1"/>
  <c r="AV77" i="1"/>
  <c r="AT77" i="1"/>
  <c r="AU80" i="1"/>
  <c r="AV80" i="1"/>
  <c r="AT80" i="1"/>
  <c r="AS80" i="1"/>
  <c r="AL102" i="1"/>
  <c r="AJ102" i="1"/>
  <c r="AK102" i="1"/>
  <c r="AM102" i="1"/>
  <c r="AL56" i="1"/>
  <c r="AJ56" i="1"/>
  <c r="AK56" i="1"/>
  <c r="AM56" i="1"/>
  <c r="AJ77" i="1"/>
  <c r="AK77" i="1"/>
  <c r="AM77" i="1"/>
  <c r="AL77" i="1"/>
  <c r="BB63" i="1"/>
  <c r="BE63" i="1"/>
  <c r="BD63" i="1"/>
  <c r="BC63" i="1"/>
  <c r="BB43" i="1"/>
  <c r="BE43" i="1"/>
  <c r="BD43" i="1"/>
  <c r="BC43" i="1"/>
  <c r="BE69" i="1"/>
  <c r="BC69" i="1"/>
  <c r="BB69" i="1"/>
  <c r="BD69" i="1"/>
  <c r="AZ10" i="1"/>
  <c r="AU74" i="1"/>
  <c r="AV74" i="1"/>
  <c r="AT74" i="1"/>
  <c r="AS74" i="1"/>
  <c r="AU66" i="1"/>
  <c r="AS66" i="1"/>
  <c r="AV66" i="1"/>
  <c r="AT66" i="1"/>
  <c r="AU61" i="1"/>
  <c r="AT61" i="1"/>
  <c r="AS61" i="1"/>
  <c r="AV61" i="1"/>
  <c r="AU78" i="1"/>
  <c r="AV78" i="1"/>
  <c r="AT78" i="1"/>
  <c r="AS78" i="1"/>
  <c r="AJ22" i="1"/>
  <c r="AK22" i="1"/>
  <c r="AL22" i="1"/>
  <c r="AM22" i="1"/>
  <c r="AL54" i="1"/>
  <c r="AJ54" i="1"/>
  <c r="AK54" i="1"/>
  <c r="AM54" i="1"/>
  <c r="BE47" i="1"/>
  <c r="BD47" i="1"/>
  <c r="BC47" i="1"/>
  <c r="BB47" i="1"/>
  <c r="BD71" i="1"/>
  <c r="BE71" i="1"/>
  <c r="BC71" i="1"/>
  <c r="BB71" i="1"/>
  <c r="AU98" i="1"/>
  <c r="AS98" i="1"/>
  <c r="AT98" i="1"/>
  <c r="AV98" i="1"/>
  <c r="AT43" i="1"/>
  <c r="AU43" i="1"/>
  <c r="AS43" i="1"/>
  <c r="AV43" i="1"/>
  <c r="AU70" i="1"/>
  <c r="AV70" i="1"/>
  <c r="AT70" i="1"/>
  <c r="AS70" i="1"/>
  <c r="AJ47" i="1"/>
  <c r="AK47" i="1"/>
  <c r="AL47" i="1"/>
  <c r="AM47" i="1"/>
  <c r="AV33" i="1"/>
  <c r="AU33" i="1"/>
  <c r="AS33" i="1"/>
  <c r="AT33" i="1"/>
  <c r="AV83" i="1"/>
  <c r="AU83" i="1"/>
  <c r="AT83" i="1"/>
  <c r="AS83" i="1"/>
  <c r="AU45" i="1"/>
  <c r="AS45" i="1"/>
  <c r="AV45" i="1"/>
  <c r="AT45" i="1"/>
  <c r="AT53" i="1"/>
  <c r="AS53" i="1"/>
  <c r="AV53" i="1"/>
  <c r="AU53" i="1"/>
  <c r="AV27" i="1"/>
  <c r="AU27" i="1"/>
  <c r="AT27" i="1"/>
  <c r="AS27" i="1"/>
  <c r="AU76" i="1"/>
  <c r="AS76" i="1"/>
  <c r="AV76" i="1"/>
  <c r="AT76" i="1"/>
  <c r="AV67" i="1"/>
  <c r="AU67" i="1"/>
  <c r="AT67" i="1"/>
  <c r="AS67" i="1"/>
  <c r="AV25" i="1"/>
  <c r="AU25" i="1"/>
  <c r="AT25" i="1"/>
  <c r="AS25" i="1"/>
  <c r="AU48" i="1"/>
  <c r="AS48" i="1"/>
  <c r="AT48" i="1"/>
  <c r="AV48" i="1"/>
  <c r="AV79" i="1"/>
  <c r="AU79" i="1"/>
  <c r="AT79" i="1"/>
  <c r="AS79" i="1"/>
  <c r="AV15" i="1"/>
  <c r="AS15" i="1"/>
  <c r="AU15" i="1"/>
  <c r="AT15" i="1"/>
  <c r="AU54" i="1"/>
  <c r="AV54" i="1"/>
  <c r="AT54" i="1"/>
  <c r="AS54" i="1"/>
  <c r="AK23" i="1"/>
  <c r="AL23" i="1"/>
  <c r="AM23" i="1"/>
  <c r="AJ23" i="1"/>
  <c r="AL48" i="1"/>
  <c r="AK48" i="1"/>
  <c r="AM48" i="1"/>
  <c r="AJ48" i="1"/>
  <c r="AL89" i="1"/>
  <c r="AM89" i="1"/>
  <c r="AJ89" i="1"/>
  <c r="AK89" i="1"/>
  <c r="AL106" i="1"/>
  <c r="AJ106" i="1"/>
  <c r="AK106" i="1"/>
  <c r="AM106" i="1"/>
  <c r="AL72" i="1"/>
  <c r="AJ72" i="1"/>
  <c r="AK72" i="1"/>
  <c r="AM72" i="1"/>
  <c r="AL66" i="1"/>
  <c r="AM66" i="1"/>
  <c r="AJ66" i="1"/>
  <c r="AK66" i="1"/>
  <c r="AL46" i="1"/>
  <c r="AM46" i="1"/>
  <c r="AJ46" i="1"/>
  <c r="AK46" i="1"/>
  <c r="AJ15" i="1"/>
  <c r="AM15" i="1"/>
  <c r="AK15" i="1"/>
  <c r="AL15" i="1"/>
  <c r="AJ45" i="1"/>
  <c r="AK45" i="1"/>
  <c r="AM45" i="1"/>
  <c r="AL45" i="1"/>
  <c r="AL68" i="1"/>
  <c r="AJ68" i="1"/>
  <c r="AM68" i="1"/>
  <c r="AK68" i="1"/>
  <c r="AK99" i="1"/>
  <c r="AL99" i="1"/>
  <c r="AM99" i="1"/>
  <c r="AJ99" i="1"/>
  <c r="AJ35" i="1"/>
  <c r="AK35" i="1"/>
  <c r="AM35" i="1"/>
  <c r="AL35" i="1"/>
  <c r="BB91" i="1"/>
  <c r="BE91" i="1"/>
  <c r="BD91" i="1"/>
  <c r="BC91" i="1"/>
  <c r="BE25" i="1"/>
  <c r="BC25" i="1"/>
  <c r="BB25" i="1"/>
  <c r="BD25" i="1"/>
  <c r="BC33" i="1"/>
  <c r="BD33" i="1"/>
  <c r="BB33" i="1"/>
  <c r="BE33" i="1"/>
  <c r="BD39" i="1"/>
  <c r="BE39" i="1"/>
  <c r="BC39" i="1"/>
  <c r="BB39" i="1"/>
  <c r="BC97" i="1"/>
  <c r="BE97" i="1"/>
  <c r="BD97" i="1"/>
  <c r="BB97" i="1"/>
  <c r="BE95" i="1"/>
  <c r="BB95" i="1"/>
  <c r="BC95" i="1"/>
  <c r="BD95" i="1"/>
  <c r="BC92" i="1"/>
  <c r="BB92" i="1"/>
  <c r="BE92" i="1"/>
  <c r="BD92" i="1"/>
  <c r="BC98" i="1"/>
  <c r="BB98" i="1"/>
  <c r="BE98" i="1"/>
  <c r="BD98" i="1"/>
  <c r="BC34" i="1"/>
  <c r="BB34" i="1"/>
  <c r="BE34" i="1"/>
  <c r="BD34" i="1"/>
  <c r="BC70" i="1"/>
  <c r="BB70" i="1"/>
  <c r="BE70" i="1"/>
  <c r="BD70" i="1"/>
  <c r="BB101" i="1"/>
  <c r="BC101" i="1"/>
  <c r="BE101" i="1"/>
  <c r="BD101" i="1"/>
  <c r="BC37" i="1"/>
  <c r="BE37" i="1"/>
  <c r="BD37" i="1"/>
  <c r="BB37" i="1"/>
  <c r="AT91" i="1"/>
  <c r="AV91" i="1"/>
  <c r="AU91" i="1"/>
  <c r="AS91" i="1"/>
  <c r="AS89" i="1"/>
  <c r="AT89" i="1"/>
  <c r="AV89" i="1"/>
  <c r="AU89" i="1"/>
  <c r="AV30" i="1"/>
  <c r="AT30" i="1"/>
  <c r="AS30" i="1"/>
  <c r="AU30" i="1"/>
  <c r="AL98" i="1"/>
  <c r="AJ98" i="1"/>
  <c r="AM98" i="1"/>
  <c r="AK98" i="1"/>
  <c r="AK21" i="1"/>
  <c r="AL21" i="1"/>
  <c r="AM21" i="1"/>
  <c r="AJ21" i="1"/>
  <c r="BC32" i="1"/>
  <c r="BB32" i="1"/>
  <c r="BE32" i="1"/>
  <c r="BD32" i="1"/>
  <c r="BE13" i="1"/>
  <c r="BD13" i="1"/>
  <c r="BC13" i="1"/>
  <c r="BB13" i="1"/>
  <c r="AS97" i="1"/>
  <c r="AV97" i="1"/>
  <c r="AU97" i="1"/>
  <c r="AT97" i="1"/>
  <c r="AV26" i="1"/>
  <c r="AU26" i="1"/>
  <c r="AT26" i="1"/>
  <c r="AS26" i="1"/>
  <c r="AV16" i="1"/>
  <c r="AU16" i="1"/>
  <c r="AT16" i="1"/>
  <c r="AS16" i="1"/>
  <c r="AU86" i="1"/>
  <c r="AV86" i="1"/>
  <c r="AT86" i="1"/>
  <c r="AS86" i="1"/>
  <c r="AL58" i="1"/>
  <c r="AJ58" i="1"/>
  <c r="AK58" i="1"/>
  <c r="AM58" i="1"/>
  <c r="AJ65" i="1"/>
  <c r="AK65" i="1"/>
  <c r="AL65" i="1"/>
  <c r="AM65" i="1"/>
  <c r="AJ36" i="1"/>
  <c r="AK36" i="1"/>
  <c r="AL36" i="1"/>
  <c r="AM36" i="1"/>
  <c r="BE89" i="1"/>
  <c r="BD89" i="1"/>
  <c r="BC89" i="1"/>
  <c r="BB89" i="1"/>
  <c r="BC60" i="1"/>
  <c r="BB60" i="1"/>
  <c r="BE60" i="1"/>
  <c r="BD60" i="1"/>
  <c r="BC66" i="1"/>
  <c r="BB66" i="1"/>
  <c r="BE66" i="1"/>
  <c r="BD66" i="1"/>
  <c r="BC102" i="1"/>
  <c r="BB102" i="1"/>
  <c r="BE102" i="1"/>
  <c r="BD102" i="1"/>
  <c r="AV85" i="1"/>
  <c r="AT85" i="1"/>
  <c r="AS85" i="1"/>
  <c r="AU85" i="1"/>
  <c r="AU82" i="1"/>
  <c r="AS82" i="1"/>
  <c r="AV82" i="1"/>
  <c r="AT82" i="1"/>
  <c r="AU39" i="1"/>
  <c r="AT39" i="1"/>
  <c r="AS39" i="1"/>
  <c r="AV39" i="1"/>
  <c r="AL64" i="1"/>
  <c r="AJ64" i="1"/>
  <c r="AK64" i="1"/>
  <c r="AM64" i="1"/>
  <c r="AK105" i="1"/>
  <c r="AM105" i="1"/>
  <c r="AL105" i="1"/>
  <c r="AJ105" i="1"/>
  <c r="AL69" i="1"/>
  <c r="AM69" i="1"/>
  <c r="AK69" i="1"/>
  <c r="AJ69" i="1"/>
  <c r="AJ59" i="1"/>
  <c r="AL59" i="1"/>
  <c r="AM59" i="1"/>
  <c r="AK59" i="1"/>
  <c r="BC49" i="1"/>
  <c r="BE49" i="1"/>
  <c r="BD49" i="1"/>
  <c r="BB49" i="1"/>
  <c r="BD31" i="1"/>
  <c r="BC31" i="1"/>
  <c r="BB31" i="1"/>
  <c r="BE31" i="1"/>
  <c r="BC58" i="1"/>
  <c r="BB58" i="1"/>
  <c r="BE58" i="1"/>
  <c r="BD58" i="1"/>
  <c r="BE61" i="1"/>
  <c r="BB61" i="1"/>
  <c r="BC61" i="1"/>
  <c r="BD61" i="1"/>
  <c r="AV29" i="1"/>
  <c r="AT29" i="1"/>
  <c r="AS29" i="1"/>
  <c r="AU29" i="1"/>
  <c r="AU64" i="1"/>
  <c r="AT64" i="1"/>
  <c r="AS64" i="1"/>
  <c r="AV64" i="1"/>
  <c r="AJ34" i="1"/>
  <c r="AK34" i="1"/>
  <c r="AL34" i="1"/>
  <c r="AM34" i="1"/>
  <c r="AJ31" i="1"/>
  <c r="AK31" i="1"/>
  <c r="AL31" i="1"/>
  <c r="AM31" i="1"/>
  <c r="AL84" i="1"/>
  <c r="AJ84" i="1"/>
  <c r="AK84" i="1"/>
  <c r="AM84" i="1"/>
  <c r="BC22" i="1"/>
  <c r="BB22" i="1"/>
  <c r="BE22" i="1"/>
  <c r="BD22" i="1"/>
  <c r="AT59" i="1"/>
  <c r="AV59" i="1"/>
  <c r="AU59" i="1"/>
  <c r="AS59" i="1"/>
  <c r="AU99" i="1"/>
  <c r="AT99" i="1"/>
  <c r="AS99" i="1"/>
  <c r="AV99" i="1"/>
  <c r="AU17" i="1"/>
  <c r="AT17" i="1"/>
  <c r="AS17" i="1"/>
  <c r="AV17" i="1"/>
  <c r="AU93" i="1"/>
  <c r="AV93" i="1"/>
  <c r="AT93" i="1"/>
  <c r="AS93" i="1"/>
  <c r="AU65" i="1"/>
  <c r="AT65" i="1"/>
  <c r="AS65" i="1"/>
  <c r="AV65" i="1"/>
  <c r="AV28" i="1"/>
  <c r="AS28" i="1"/>
  <c r="AU28" i="1"/>
  <c r="AT28" i="1"/>
  <c r="AS104" i="1"/>
  <c r="AT104" i="1"/>
  <c r="AV104" i="1"/>
  <c r="AU104" i="1"/>
  <c r="AU40" i="1"/>
  <c r="AS40" i="1"/>
  <c r="AV40" i="1"/>
  <c r="AT40" i="1"/>
  <c r="AS71" i="1"/>
  <c r="AV71" i="1"/>
  <c r="AU71" i="1"/>
  <c r="AT71" i="1"/>
  <c r="AV14" i="1"/>
  <c r="AT14" i="1"/>
  <c r="AS14" i="1"/>
  <c r="AU14" i="1"/>
  <c r="AU46" i="1"/>
  <c r="AV46" i="1"/>
  <c r="AT46" i="1"/>
  <c r="AS46" i="1"/>
  <c r="AM39" i="1"/>
  <c r="AK39" i="1"/>
  <c r="AL39" i="1"/>
  <c r="AJ39" i="1"/>
  <c r="AL74" i="1"/>
  <c r="AJ74" i="1"/>
  <c r="AK74" i="1"/>
  <c r="AM74" i="1"/>
  <c r="AL62" i="1"/>
  <c r="AM62" i="1"/>
  <c r="AJ62" i="1"/>
  <c r="AK62" i="1"/>
  <c r="AJ95" i="1"/>
  <c r="AK95" i="1"/>
  <c r="AL95" i="1"/>
  <c r="AM95" i="1"/>
  <c r="AM33" i="1"/>
  <c r="AK33" i="1"/>
  <c r="AL33" i="1"/>
  <c r="AJ33" i="1"/>
  <c r="AM55" i="1"/>
  <c r="AJ55" i="1"/>
  <c r="AK55" i="1"/>
  <c r="AL55" i="1"/>
  <c r="AL104" i="1"/>
  <c r="AJ104" i="1"/>
  <c r="AK104" i="1"/>
  <c r="AM104" i="1"/>
  <c r="AL101" i="1"/>
  <c r="AM101" i="1"/>
  <c r="AJ101" i="1"/>
  <c r="AK101" i="1"/>
  <c r="AK37" i="1"/>
  <c r="AL37" i="1"/>
  <c r="AM37" i="1"/>
  <c r="AJ37" i="1"/>
  <c r="AL60" i="1"/>
  <c r="AK60" i="1"/>
  <c r="AM60" i="1"/>
  <c r="AJ60" i="1"/>
  <c r="AJ91" i="1"/>
  <c r="AL91" i="1"/>
  <c r="AM91" i="1"/>
  <c r="AK91" i="1"/>
  <c r="AL27" i="1"/>
  <c r="AM27" i="1"/>
  <c r="AJ27" i="1"/>
  <c r="AK27" i="1"/>
  <c r="BC65" i="1"/>
  <c r="BB65" i="1"/>
  <c r="BE65" i="1"/>
  <c r="BD65" i="1"/>
  <c r="BC100" i="1"/>
  <c r="BB100" i="1"/>
  <c r="BE100" i="1"/>
  <c r="BD100" i="1"/>
  <c r="BC96" i="1"/>
  <c r="BB96" i="1"/>
  <c r="BE96" i="1"/>
  <c r="BD96" i="1"/>
  <c r="BC99" i="1"/>
  <c r="BD99" i="1"/>
  <c r="BB99" i="1"/>
  <c r="BE99" i="1"/>
  <c r="BC84" i="1"/>
  <c r="BB84" i="1"/>
  <c r="BE84" i="1"/>
  <c r="BD84" i="1"/>
  <c r="BC81" i="1"/>
  <c r="BB81" i="1"/>
  <c r="BE81" i="1"/>
  <c r="BD81" i="1"/>
  <c r="BC80" i="1"/>
  <c r="BB80" i="1"/>
  <c r="BE80" i="1"/>
  <c r="BD80" i="1"/>
  <c r="BC90" i="1"/>
  <c r="BB90" i="1"/>
  <c r="BE90" i="1"/>
  <c r="BD90" i="1"/>
  <c r="BC26" i="1"/>
  <c r="BB26" i="1"/>
  <c r="BE26" i="1"/>
  <c r="BD26" i="1"/>
  <c r="BC62" i="1"/>
  <c r="BB62" i="1"/>
  <c r="BE62" i="1"/>
  <c r="BD62" i="1"/>
  <c r="BB93" i="1"/>
  <c r="BE93" i="1"/>
  <c r="BD93" i="1"/>
  <c r="BC93" i="1"/>
  <c r="BE29" i="1"/>
  <c r="BD29" i="1"/>
  <c r="BC29" i="1"/>
  <c r="BB29" i="1"/>
  <c r="AB30" i="1"/>
  <c r="AA30" i="1"/>
  <c r="AC30" i="1"/>
  <c r="AD30" i="1"/>
  <c r="AB94" i="1"/>
  <c r="AA94" i="1"/>
  <c r="AC94" i="1"/>
  <c r="AD94" i="1"/>
  <c r="AD53" i="1"/>
  <c r="AB53" i="1"/>
  <c r="AA53" i="1"/>
  <c r="AC53" i="1"/>
  <c r="AB86" i="1"/>
  <c r="AA86" i="1"/>
  <c r="AC86" i="1"/>
  <c r="AD86" i="1"/>
  <c r="AD13" i="1"/>
  <c r="BJ13" i="1" s="1"/>
  <c r="AB13" i="1"/>
  <c r="AA13" i="1"/>
  <c r="AC13" i="1"/>
  <c r="AC32" i="1"/>
  <c r="AD32" i="1"/>
  <c r="AB32" i="1"/>
  <c r="AA32" i="1"/>
  <c r="AD84" i="1"/>
  <c r="AB84" i="1"/>
  <c r="AA84" i="1"/>
  <c r="AC84" i="1"/>
  <c r="AA91" i="1"/>
  <c r="AC91" i="1"/>
  <c r="AD91" i="1"/>
  <c r="AB91" i="1"/>
  <c r="AA89" i="1"/>
  <c r="AC89" i="1"/>
  <c r="AD89" i="1"/>
  <c r="AB89" i="1"/>
  <c r="AC64" i="1"/>
  <c r="AD64" i="1"/>
  <c r="AB64" i="1"/>
  <c r="AA64" i="1"/>
  <c r="AB92" i="1"/>
  <c r="AD92" i="1"/>
  <c r="AC92" i="1"/>
  <c r="AA92" i="1"/>
  <c r="AB15" i="1"/>
  <c r="AA15" i="1"/>
  <c r="AC15" i="1"/>
  <c r="AD15" i="1"/>
  <c r="AC72" i="1"/>
  <c r="AD72" i="1"/>
  <c r="AB72" i="1"/>
  <c r="AA72" i="1"/>
  <c r="AB62" i="1"/>
  <c r="AA62" i="1"/>
  <c r="AC62" i="1"/>
  <c r="AD62" i="1"/>
  <c r="AD21" i="1"/>
  <c r="AA21" i="1"/>
  <c r="AC21" i="1"/>
  <c r="AB21" i="1"/>
  <c r="AB70" i="1"/>
  <c r="AA70" i="1"/>
  <c r="AC70" i="1"/>
  <c r="AD70" i="1"/>
  <c r="AA83" i="1"/>
  <c r="AC83" i="1"/>
  <c r="AD83" i="1"/>
  <c r="AB83" i="1"/>
  <c r="AA19" i="1"/>
  <c r="AC19" i="1"/>
  <c r="AD19" i="1"/>
  <c r="AB19" i="1"/>
  <c r="AC50" i="1"/>
  <c r="AD50" i="1"/>
  <c r="AB50" i="1"/>
  <c r="AA50" i="1"/>
  <c r="AA81" i="1"/>
  <c r="AB81" i="1"/>
  <c r="AC81" i="1"/>
  <c r="AD81" i="1"/>
  <c r="AA17" i="1"/>
  <c r="AB17" i="1"/>
  <c r="AC17" i="1"/>
  <c r="AD17" i="1"/>
  <c r="AD29" i="1"/>
  <c r="AA29" i="1"/>
  <c r="AB29" i="1"/>
  <c r="AC29" i="1"/>
  <c r="AB54" i="1"/>
  <c r="AA54" i="1"/>
  <c r="AC54" i="1"/>
  <c r="AD54" i="1"/>
  <c r="AD77" i="1"/>
  <c r="AC77" i="1"/>
  <c r="AA77" i="1"/>
  <c r="AB77" i="1"/>
  <c r="AD61" i="1"/>
  <c r="AA61" i="1"/>
  <c r="AB61" i="1"/>
  <c r="AC61" i="1"/>
  <c r="AD37" i="1"/>
  <c r="AC37" i="1"/>
  <c r="AA37" i="1"/>
  <c r="AB37" i="1"/>
  <c r="AB102" i="1"/>
  <c r="AA102" i="1"/>
  <c r="AC102" i="1"/>
  <c r="AD102" i="1"/>
  <c r="AC56" i="1"/>
  <c r="AD56" i="1"/>
  <c r="AB56" i="1"/>
  <c r="AA56" i="1"/>
  <c r="AA75" i="1"/>
  <c r="AC75" i="1"/>
  <c r="AD75" i="1"/>
  <c r="AB75" i="1"/>
  <c r="AB106" i="1"/>
  <c r="AA106" i="1"/>
  <c r="AC106" i="1"/>
  <c r="AD106" i="1"/>
  <c r="AB42" i="1"/>
  <c r="AA42" i="1"/>
  <c r="AC42" i="1"/>
  <c r="AD42" i="1"/>
  <c r="AA73" i="1"/>
  <c r="AC73" i="1"/>
  <c r="AB73" i="1"/>
  <c r="AD73" i="1"/>
  <c r="AA27" i="1"/>
  <c r="AC27" i="1"/>
  <c r="AD27" i="1"/>
  <c r="AB27" i="1"/>
  <c r="AC104" i="1"/>
  <c r="AD104" i="1"/>
  <c r="AB104" i="1"/>
  <c r="AA104" i="1"/>
  <c r="AC24" i="1"/>
  <c r="AD24" i="1"/>
  <c r="AB24" i="1"/>
  <c r="AA24" i="1"/>
  <c r="AC96" i="1"/>
  <c r="AD96" i="1"/>
  <c r="AB96" i="1"/>
  <c r="AA96" i="1"/>
  <c r="AA67" i="1"/>
  <c r="AC67" i="1"/>
  <c r="AD67" i="1"/>
  <c r="AB67" i="1"/>
  <c r="AA65" i="1"/>
  <c r="AD65" i="1"/>
  <c r="AC65" i="1"/>
  <c r="AB65" i="1"/>
  <c r="AB79" i="1"/>
  <c r="AD79" i="1"/>
  <c r="AA79" i="1"/>
  <c r="AC79" i="1"/>
  <c r="AC40" i="1"/>
  <c r="AD40" i="1"/>
  <c r="AB40" i="1"/>
  <c r="AA40" i="1"/>
  <c r="AD85" i="1"/>
  <c r="AB85" i="1"/>
  <c r="AA85" i="1"/>
  <c r="AC85" i="1"/>
  <c r="AB31" i="1"/>
  <c r="AA31" i="1"/>
  <c r="AC31" i="1"/>
  <c r="AD31" i="1"/>
  <c r="AD90" i="1"/>
  <c r="AC90" i="1"/>
  <c r="AA90" i="1"/>
  <c r="AB90" i="1"/>
  <c r="AA57" i="1"/>
  <c r="AB57" i="1"/>
  <c r="AC57" i="1"/>
  <c r="AD57" i="1"/>
  <c r="AA44" i="1"/>
  <c r="AC44" i="1"/>
  <c r="AB44" i="1"/>
  <c r="AD44" i="1"/>
  <c r="AB28" i="1"/>
  <c r="AD28" i="1"/>
  <c r="AC28" i="1"/>
  <c r="AA28" i="1"/>
  <c r="AD69" i="1"/>
  <c r="AA69" i="1"/>
  <c r="AB69" i="1"/>
  <c r="AC69" i="1"/>
  <c r="AC76" i="1"/>
  <c r="AD76" i="1"/>
  <c r="AB76" i="1"/>
  <c r="AA76" i="1"/>
  <c r="AB22" i="1"/>
  <c r="AA22" i="1"/>
  <c r="AC22" i="1"/>
  <c r="AD22" i="1"/>
  <c r="AB71" i="1"/>
  <c r="AD71" i="1"/>
  <c r="AC71" i="1"/>
  <c r="AA71" i="1"/>
  <c r="AD101" i="1"/>
  <c r="AC101" i="1"/>
  <c r="AB101" i="1"/>
  <c r="AA101" i="1"/>
  <c r="AD20" i="1"/>
  <c r="AB20" i="1"/>
  <c r="AA20" i="1"/>
  <c r="AC20" i="1"/>
  <c r="AA51" i="1"/>
  <c r="AC51" i="1"/>
  <c r="AD51" i="1"/>
  <c r="AB51" i="1"/>
  <c r="AA82" i="1"/>
  <c r="AB82" i="1"/>
  <c r="AC82" i="1"/>
  <c r="AD82" i="1"/>
  <c r="AA18" i="1"/>
  <c r="AB18" i="1"/>
  <c r="AC18" i="1"/>
  <c r="AD18" i="1"/>
  <c r="AA49" i="1"/>
  <c r="AB49" i="1"/>
  <c r="AC49" i="1"/>
  <c r="AD49" i="1"/>
  <c r="AA25" i="1"/>
  <c r="AC25" i="1"/>
  <c r="AD25" i="1"/>
  <c r="AB25" i="1"/>
  <c r="AD93" i="1"/>
  <c r="AA93" i="1"/>
  <c r="AB93" i="1"/>
  <c r="AC93" i="1"/>
  <c r="AB47" i="1"/>
  <c r="AA47" i="1"/>
  <c r="AC47" i="1"/>
  <c r="AD47" i="1"/>
  <c r="AD45" i="1"/>
  <c r="AB45" i="1"/>
  <c r="AC45" i="1"/>
  <c r="AA45" i="1"/>
  <c r="AB34" i="1"/>
  <c r="AA34" i="1"/>
  <c r="AC34" i="1"/>
  <c r="AD34" i="1"/>
  <c r="AB87" i="1"/>
  <c r="AA87" i="1"/>
  <c r="AC87" i="1"/>
  <c r="AD87" i="1"/>
  <c r="AA59" i="1"/>
  <c r="AC59" i="1"/>
  <c r="AD59" i="1"/>
  <c r="AB59" i="1"/>
  <c r="AB14" i="1"/>
  <c r="AA14" i="1"/>
  <c r="AC14" i="1"/>
  <c r="AD14" i="1"/>
  <c r="BJ14" i="1" s="1"/>
  <c r="AB39" i="1"/>
  <c r="AC39" i="1"/>
  <c r="AD39" i="1"/>
  <c r="AA39" i="1"/>
  <c r="AB103" i="1"/>
  <c r="AD103" i="1"/>
  <c r="AC103" i="1"/>
  <c r="AA103" i="1"/>
  <c r="AB23" i="1"/>
  <c r="AA23" i="1"/>
  <c r="AC23" i="1"/>
  <c r="AD23" i="1"/>
  <c r="AC88" i="1"/>
  <c r="AD88" i="1"/>
  <c r="AB88" i="1"/>
  <c r="AA88" i="1"/>
  <c r="AB60" i="1"/>
  <c r="AA60" i="1"/>
  <c r="AC60" i="1"/>
  <c r="AD60" i="1"/>
  <c r="AC48" i="1"/>
  <c r="AD48" i="1"/>
  <c r="AB48" i="1"/>
  <c r="AA48" i="1"/>
  <c r="AB12" i="1"/>
  <c r="AA12" i="1"/>
  <c r="AD12" i="1"/>
  <c r="AC12" i="1"/>
  <c r="AA43" i="1"/>
  <c r="AC43" i="1"/>
  <c r="AD43" i="1"/>
  <c r="AB43" i="1"/>
  <c r="AB74" i="1"/>
  <c r="AA74" i="1"/>
  <c r="AD74" i="1"/>
  <c r="AC74" i="1"/>
  <c r="AA105" i="1"/>
  <c r="AB105" i="1"/>
  <c r="AC105" i="1"/>
  <c r="AD105" i="1"/>
  <c r="AA41" i="1"/>
  <c r="AC41" i="1"/>
  <c r="AD41" i="1"/>
  <c r="AB41" i="1"/>
  <c r="AD58" i="1"/>
  <c r="AB58" i="1"/>
  <c r="AC58" i="1"/>
  <c r="AA58" i="1"/>
  <c r="AC16" i="1"/>
  <c r="AD16" i="1"/>
  <c r="AB16" i="1"/>
  <c r="AA16" i="1"/>
  <c r="AB63" i="1"/>
  <c r="AC63" i="1"/>
  <c r="AD63" i="1"/>
  <c r="AA63" i="1"/>
  <c r="AB98" i="1"/>
  <c r="AA98" i="1"/>
  <c r="AC98" i="1"/>
  <c r="AD98" i="1"/>
  <c r="AB55" i="1"/>
  <c r="AA55" i="1"/>
  <c r="AC55" i="1"/>
  <c r="AD55" i="1"/>
  <c r="AA36" i="1"/>
  <c r="AD36" i="1"/>
  <c r="AB36" i="1"/>
  <c r="AC36" i="1"/>
  <c r="AB38" i="1"/>
  <c r="AA38" i="1"/>
  <c r="AC38" i="1"/>
  <c r="AD38" i="1"/>
  <c r="AD26" i="1"/>
  <c r="AA26" i="1"/>
  <c r="AC26" i="1"/>
  <c r="AB26" i="1"/>
  <c r="AB78" i="1"/>
  <c r="AA78" i="1"/>
  <c r="AC78" i="1"/>
  <c r="AD78" i="1"/>
  <c r="AA68" i="1"/>
  <c r="AB68" i="1"/>
  <c r="AC68" i="1"/>
  <c r="AD68" i="1"/>
  <c r="AC80" i="1"/>
  <c r="AD80" i="1"/>
  <c r="AB80" i="1"/>
  <c r="AA80" i="1"/>
  <c r="AA100" i="1"/>
  <c r="AC100" i="1"/>
  <c r="AB100" i="1"/>
  <c r="AD100" i="1"/>
  <c r="AD52" i="1"/>
  <c r="AC52" i="1"/>
  <c r="AA52" i="1"/>
  <c r="AB52" i="1"/>
  <c r="AB46" i="1"/>
  <c r="AA46" i="1"/>
  <c r="AC46" i="1"/>
  <c r="AD46" i="1"/>
  <c r="AB95" i="1"/>
  <c r="AA95" i="1"/>
  <c r="AC95" i="1"/>
  <c r="AD95" i="1"/>
  <c r="AA99" i="1"/>
  <c r="AC99" i="1"/>
  <c r="AD99" i="1"/>
  <c r="AB99" i="1"/>
  <c r="AA35" i="1"/>
  <c r="AC35" i="1"/>
  <c r="AD35" i="1"/>
  <c r="AB35" i="1"/>
  <c r="AA66" i="1"/>
  <c r="AB66" i="1"/>
  <c r="AC66" i="1"/>
  <c r="AD66" i="1"/>
  <c r="AA97" i="1"/>
  <c r="AD97" i="1"/>
  <c r="AB97" i="1"/>
  <c r="AC97" i="1"/>
  <c r="AA33" i="1"/>
  <c r="AD33" i="1"/>
  <c r="AB33" i="1"/>
  <c r="AC33" i="1"/>
  <c r="Y10" i="1"/>
  <c r="AL10" i="1" l="1"/>
  <c r="AK10" i="1"/>
  <c r="AU10" i="1"/>
  <c r="AJ10" i="1"/>
  <c r="AC10" i="1"/>
  <c r="BB10" i="1"/>
  <c r="N5" i="1" s="1"/>
  <c r="AV10" i="1"/>
  <c r="AM10" i="1"/>
  <c r="AA10" i="1"/>
  <c r="AB10" i="1"/>
  <c r="BL13" i="1"/>
  <c r="BM13" i="1"/>
  <c r="BN13" i="1"/>
  <c r="BK13" i="1"/>
  <c r="BE10" i="1"/>
  <c r="BH15" i="1"/>
  <c r="BH10" i="1" s="1"/>
  <c r="BJ15" i="1" s="1"/>
  <c r="AD10" i="1"/>
  <c r="BJ12" i="1"/>
  <c r="BC10" i="1"/>
  <c r="BL14" i="1"/>
  <c r="BN14" i="1"/>
  <c r="BM14" i="1"/>
  <c r="BK14" i="1"/>
  <c r="BD10" i="1"/>
  <c r="AT10" i="1"/>
  <c r="AS10" i="1"/>
  <c r="N2" i="1" l="1"/>
  <c r="P5" i="1" s="1"/>
  <c r="A5" i="1"/>
  <c r="D3" i="1"/>
  <c r="BK15" i="1"/>
  <c r="BM15" i="1"/>
  <c r="BN15" i="1"/>
  <c r="BL15" i="1"/>
  <c r="BJ19" i="1"/>
  <c r="BJ27" i="1"/>
  <c r="BJ35" i="1"/>
  <c r="BJ43" i="1"/>
  <c r="BJ51" i="1"/>
  <c r="BJ59" i="1"/>
  <c r="BJ67" i="1"/>
  <c r="BJ75" i="1"/>
  <c r="BJ83" i="1"/>
  <c r="BJ91" i="1"/>
  <c r="BJ99" i="1"/>
  <c r="BJ16" i="1"/>
  <c r="BI24" i="1"/>
  <c r="BI32" i="1"/>
  <c r="BI40" i="1"/>
  <c r="BI48" i="1"/>
  <c r="BI56" i="1"/>
  <c r="BI64" i="1"/>
  <c r="BI72" i="1"/>
  <c r="BI80" i="1"/>
  <c r="BI88" i="1"/>
  <c r="BI96" i="1"/>
  <c r="BI104" i="1"/>
  <c r="BJ20" i="1"/>
  <c r="BJ28" i="1"/>
  <c r="BJ36" i="1"/>
  <c r="BJ44" i="1"/>
  <c r="BJ52" i="1"/>
  <c r="BJ60" i="1"/>
  <c r="BJ68" i="1"/>
  <c r="BJ76" i="1"/>
  <c r="BJ84" i="1"/>
  <c r="BJ92" i="1"/>
  <c r="BJ100" i="1"/>
  <c r="BI17" i="1"/>
  <c r="BI25" i="1"/>
  <c r="BI33" i="1"/>
  <c r="BI41" i="1"/>
  <c r="BI49" i="1"/>
  <c r="BI57" i="1"/>
  <c r="BI65" i="1"/>
  <c r="BI73" i="1"/>
  <c r="BI81" i="1"/>
  <c r="BI89" i="1"/>
  <c r="BI97" i="1"/>
  <c r="BI105" i="1"/>
  <c r="BJ17" i="1"/>
  <c r="BJ25" i="1"/>
  <c r="BJ33" i="1"/>
  <c r="BJ41" i="1"/>
  <c r="BJ49" i="1"/>
  <c r="BJ57" i="1"/>
  <c r="BJ65" i="1"/>
  <c r="BJ73" i="1"/>
  <c r="BJ81" i="1"/>
  <c r="BJ89" i="1"/>
  <c r="BJ97" i="1"/>
  <c r="BJ105" i="1"/>
  <c r="BI22" i="1"/>
  <c r="BI30" i="1"/>
  <c r="BI38" i="1"/>
  <c r="BI46" i="1"/>
  <c r="BI54" i="1"/>
  <c r="BI62" i="1"/>
  <c r="BI70" i="1"/>
  <c r="BI78" i="1"/>
  <c r="BI86" i="1"/>
  <c r="BI94" i="1"/>
  <c r="BI102" i="1"/>
  <c r="BJ23" i="1"/>
  <c r="BJ37" i="1"/>
  <c r="BJ48" i="1"/>
  <c r="BJ62" i="1"/>
  <c r="BJ74" i="1"/>
  <c r="BJ87" i="1"/>
  <c r="BJ101" i="1"/>
  <c r="BI21" i="1"/>
  <c r="BI35" i="1"/>
  <c r="BI47" i="1"/>
  <c r="BI60" i="1"/>
  <c r="BI74" i="1"/>
  <c r="BI85" i="1"/>
  <c r="BI99" i="1"/>
  <c r="BJ24" i="1"/>
  <c r="BJ18" i="1"/>
  <c r="BJ31" i="1"/>
  <c r="BJ45" i="1"/>
  <c r="BJ56" i="1"/>
  <c r="BJ70" i="1"/>
  <c r="BJ82" i="1"/>
  <c r="BJ95" i="1"/>
  <c r="BI18" i="1"/>
  <c r="BI29" i="1"/>
  <c r="BI43" i="1"/>
  <c r="BI55" i="1"/>
  <c r="BI68" i="1"/>
  <c r="BI82" i="1"/>
  <c r="BI93" i="1"/>
  <c r="BI16" i="1"/>
  <c r="BJ30" i="1"/>
  <c r="BJ34" i="1"/>
  <c r="BJ53" i="1"/>
  <c r="BJ69" i="1"/>
  <c r="BJ86" i="1"/>
  <c r="BJ103" i="1"/>
  <c r="BI28" i="1"/>
  <c r="BI45" i="1"/>
  <c r="BI63" i="1"/>
  <c r="BI79" i="1"/>
  <c r="BI98" i="1"/>
  <c r="BJ38" i="1"/>
  <c r="BJ55" i="1"/>
  <c r="BJ77" i="1"/>
  <c r="BJ94" i="1"/>
  <c r="BI23" i="1"/>
  <c r="BI42" i="1"/>
  <c r="BI61" i="1"/>
  <c r="BI83" i="1"/>
  <c r="BI101" i="1"/>
  <c r="BJ39" i="1"/>
  <c r="BJ58" i="1"/>
  <c r="BJ78" i="1"/>
  <c r="BJ96" i="1"/>
  <c r="BI26" i="1"/>
  <c r="BI44" i="1"/>
  <c r="BI66" i="1"/>
  <c r="BI84" i="1"/>
  <c r="BI103" i="1"/>
  <c r="BJ40" i="1"/>
  <c r="BJ61" i="1"/>
  <c r="BJ79" i="1"/>
  <c r="BJ98" i="1"/>
  <c r="BI27" i="1"/>
  <c r="BI50" i="1"/>
  <c r="BI67" i="1"/>
  <c r="BI87" i="1"/>
  <c r="BI106" i="1"/>
  <c r="BJ47" i="1"/>
  <c r="BJ80" i="1"/>
  <c r="BI19" i="1"/>
  <c r="BI52" i="1"/>
  <c r="BI77" i="1"/>
  <c r="BJ21" i="1"/>
  <c r="BJ50" i="1"/>
  <c r="BJ85" i="1"/>
  <c r="BI20" i="1"/>
  <c r="BI53" i="1"/>
  <c r="BI90" i="1"/>
  <c r="BJ22" i="1"/>
  <c r="BJ54" i="1"/>
  <c r="BJ88" i="1"/>
  <c r="BI31" i="1"/>
  <c r="BI58" i="1"/>
  <c r="BI91" i="1"/>
  <c r="BJ26" i="1"/>
  <c r="BJ63" i="1"/>
  <c r="BJ90" i="1"/>
  <c r="BI34" i="1"/>
  <c r="BI59" i="1"/>
  <c r="BI92" i="1"/>
  <c r="BJ64" i="1"/>
  <c r="BI36" i="1"/>
  <c r="BI69" i="1"/>
  <c r="BJ93" i="1"/>
  <c r="BI75" i="1"/>
  <c r="BJ32" i="1"/>
  <c r="BI95" i="1"/>
  <c r="BI100" i="1"/>
  <c r="BJ46" i="1"/>
  <c r="BJ29" i="1"/>
  <c r="BJ102" i="1"/>
  <c r="BI76" i="1"/>
  <c r="BJ104" i="1"/>
  <c r="BJ106" i="1"/>
  <c r="BJ66" i="1"/>
  <c r="BI39" i="1"/>
  <c r="BJ71" i="1"/>
  <c r="BI51" i="1"/>
  <c r="BJ72" i="1"/>
  <c r="BI71" i="1"/>
  <c r="BJ42" i="1"/>
  <c r="BI37" i="1"/>
  <c r="B6" i="1" l="1"/>
  <c r="B7" i="1"/>
  <c r="B8" i="1"/>
  <c r="B5" i="1"/>
  <c r="P6" i="1"/>
  <c r="BL98" i="1"/>
  <c r="BK98" i="1"/>
  <c r="BN98" i="1"/>
  <c r="BM98" i="1"/>
  <c r="BN30" i="1"/>
  <c r="BM30" i="1"/>
  <c r="BL30" i="1"/>
  <c r="BK30" i="1"/>
  <c r="BL24" i="1"/>
  <c r="BM24" i="1"/>
  <c r="BN24" i="1"/>
  <c r="BK24" i="1"/>
  <c r="BN101" i="1"/>
  <c r="BM101" i="1"/>
  <c r="BK101" i="1"/>
  <c r="BL101" i="1"/>
  <c r="BN57" i="1"/>
  <c r="BM57" i="1"/>
  <c r="BK57" i="1"/>
  <c r="BL57" i="1"/>
  <c r="BK52" i="1"/>
  <c r="BL52" i="1"/>
  <c r="BN52" i="1"/>
  <c r="BM52" i="1"/>
  <c r="BK16" i="1"/>
  <c r="BL16" i="1"/>
  <c r="BN16" i="1"/>
  <c r="BM16" i="1"/>
  <c r="BK43" i="1"/>
  <c r="BN43" i="1"/>
  <c r="BM43" i="1"/>
  <c r="BL43" i="1"/>
  <c r="BN72" i="1"/>
  <c r="BK72" i="1"/>
  <c r="BL72" i="1"/>
  <c r="BM72" i="1"/>
  <c r="BL102" i="1"/>
  <c r="BK102" i="1"/>
  <c r="BM102" i="1"/>
  <c r="BN102" i="1"/>
  <c r="BK26" i="1"/>
  <c r="BN26" i="1"/>
  <c r="BM26" i="1"/>
  <c r="BL26" i="1"/>
  <c r="BM80" i="1"/>
  <c r="BK80" i="1"/>
  <c r="BL80" i="1"/>
  <c r="BN80" i="1"/>
  <c r="BN79" i="1"/>
  <c r="BK79" i="1"/>
  <c r="BM79" i="1"/>
  <c r="BL79" i="1"/>
  <c r="BM96" i="1"/>
  <c r="BN96" i="1"/>
  <c r="BL96" i="1"/>
  <c r="BK96" i="1"/>
  <c r="BI10" i="1"/>
  <c r="BM95" i="1"/>
  <c r="BN95" i="1"/>
  <c r="BK95" i="1"/>
  <c r="BL95" i="1"/>
  <c r="BM87" i="1"/>
  <c r="BK87" i="1"/>
  <c r="BL87" i="1"/>
  <c r="BN87" i="1"/>
  <c r="BM49" i="1"/>
  <c r="BN49" i="1"/>
  <c r="BK49" i="1"/>
  <c r="BL49" i="1"/>
  <c r="BL44" i="1"/>
  <c r="BK44" i="1"/>
  <c r="BM44" i="1"/>
  <c r="BN44" i="1"/>
  <c r="BK99" i="1"/>
  <c r="BN99" i="1"/>
  <c r="BM99" i="1"/>
  <c r="BL99" i="1"/>
  <c r="BK35" i="1"/>
  <c r="BN35" i="1"/>
  <c r="BM35" i="1"/>
  <c r="BL35" i="1"/>
  <c r="BM29" i="1"/>
  <c r="BL29" i="1"/>
  <c r="BN29" i="1"/>
  <c r="BK29" i="1"/>
  <c r="BL47" i="1"/>
  <c r="BM47" i="1"/>
  <c r="BK47" i="1"/>
  <c r="BN47" i="1"/>
  <c r="BN61" i="1"/>
  <c r="BK61" i="1"/>
  <c r="BM61" i="1"/>
  <c r="BL61" i="1"/>
  <c r="BK78" i="1"/>
  <c r="BM78" i="1"/>
  <c r="BL78" i="1"/>
  <c r="BN78" i="1"/>
  <c r="BN94" i="1"/>
  <c r="BK94" i="1"/>
  <c r="BL94" i="1"/>
  <c r="BM94" i="1"/>
  <c r="BK82" i="1"/>
  <c r="BN82" i="1"/>
  <c r="BM82" i="1"/>
  <c r="BL82" i="1"/>
  <c r="BN74" i="1"/>
  <c r="BM74" i="1"/>
  <c r="BL74" i="1"/>
  <c r="BK74" i="1"/>
  <c r="BN105" i="1"/>
  <c r="BM105" i="1"/>
  <c r="BL105" i="1"/>
  <c r="BK105" i="1"/>
  <c r="BN41" i="1"/>
  <c r="BM41" i="1"/>
  <c r="BL41" i="1"/>
  <c r="BK41" i="1"/>
  <c r="BM100" i="1"/>
  <c r="BK100" i="1"/>
  <c r="BL100" i="1"/>
  <c r="BN100" i="1"/>
  <c r="BK36" i="1"/>
  <c r="BL36" i="1"/>
  <c r="BM36" i="1"/>
  <c r="BN36" i="1"/>
  <c r="BK91" i="1"/>
  <c r="BN91" i="1"/>
  <c r="BM91" i="1"/>
  <c r="BL91" i="1"/>
  <c r="BK27" i="1"/>
  <c r="BL27" i="1"/>
  <c r="BN27" i="1"/>
  <c r="BM27" i="1"/>
  <c r="BN63" i="1"/>
  <c r="BK63" i="1"/>
  <c r="BM63" i="1"/>
  <c r="BL63" i="1"/>
  <c r="BL46" i="1"/>
  <c r="BM46" i="1"/>
  <c r="BN46" i="1"/>
  <c r="BK46" i="1"/>
  <c r="BL85" i="1"/>
  <c r="BN85" i="1"/>
  <c r="BK85" i="1"/>
  <c r="BM85" i="1"/>
  <c r="BN40" i="1"/>
  <c r="BK40" i="1"/>
  <c r="BL40" i="1"/>
  <c r="BM40" i="1"/>
  <c r="BM77" i="1"/>
  <c r="BN77" i="1"/>
  <c r="BK77" i="1"/>
  <c r="BL77" i="1"/>
  <c r="BM70" i="1"/>
  <c r="BL70" i="1"/>
  <c r="BK70" i="1"/>
  <c r="BN70" i="1"/>
  <c r="BK83" i="1"/>
  <c r="BM83" i="1"/>
  <c r="BL83" i="1"/>
  <c r="BN83" i="1"/>
  <c r="BM39" i="1"/>
  <c r="BL39" i="1"/>
  <c r="BN39" i="1"/>
  <c r="BK39" i="1"/>
  <c r="BM55" i="1"/>
  <c r="BN55" i="1"/>
  <c r="BK55" i="1"/>
  <c r="BL55" i="1"/>
  <c r="BN86" i="1"/>
  <c r="BL86" i="1"/>
  <c r="BK86" i="1"/>
  <c r="BM86" i="1"/>
  <c r="BL56" i="1"/>
  <c r="BN56" i="1"/>
  <c r="BK56" i="1"/>
  <c r="BM56" i="1"/>
  <c r="BN48" i="1"/>
  <c r="BL48" i="1"/>
  <c r="BK48" i="1"/>
  <c r="BM48" i="1"/>
  <c r="BN89" i="1"/>
  <c r="BM89" i="1"/>
  <c r="BK89" i="1"/>
  <c r="BL89" i="1"/>
  <c r="BN25" i="1"/>
  <c r="BM25" i="1"/>
  <c r="BL25" i="1"/>
  <c r="BK25" i="1"/>
  <c r="BK84" i="1"/>
  <c r="BM84" i="1"/>
  <c r="BN84" i="1"/>
  <c r="BL84" i="1"/>
  <c r="BM20" i="1"/>
  <c r="BL20" i="1"/>
  <c r="BN20" i="1"/>
  <c r="BK20" i="1"/>
  <c r="BM75" i="1"/>
  <c r="BL75" i="1"/>
  <c r="BN75" i="1"/>
  <c r="BK75" i="1"/>
  <c r="BN66" i="1"/>
  <c r="BM66" i="1"/>
  <c r="BK66" i="1"/>
  <c r="BL66" i="1"/>
  <c r="BM88" i="1"/>
  <c r="BN88" i="1"/>
  <c r="BL88" i="1"/>
  <c r="BK88" i="1"/>
  <c r="BN21" i="1"/>
  <c r="BM21" i="1"/>
  <c r="BL21" i="1"/>
  <c r="BK21" i="1"/>
  <c r="BM38" i="1"/>
  <c r="BN38" i="1"/>
  <c r="BK38" i="1"/>
  <c r="BL38" i="1"/>
  <c r="BL69" i="1"/>
  <c r="BN69" i="1"/>
  <c r="BK69" i="1"/>
  <c r="BM69" i="1"/>
  <c r="BN45" i="1"/>
  <c r="BK45" i="1"/>
  <c r="BL45" i="1"/>
  <c r="BM45" i="1"/>
  <c r="BN37" i="1"/>
  <c r="BM37" i="1"/>
  <c r="BK37" i="1"/>
  <c r="BL37" i="1"/>
  <c r="BN81" i="1"/>
  <c r="BM81" i="1"/>
  <c r="BK81" i="1"/>
  <c r="BL81" i="1"/>
  <c r="BM17" i="1"/>
  <c r="BL17" i="1"/>
  <c r="BN17" i="1"/>
  <c r="BK17" i="1"/>
  <c r="BN76" i="1"/>
  <c r="BM76" i="1"/>
  <c r="BL76" i="1"/>
  <c r="BK76" i="1"/>
  <c r="BK67" i="1"/>
  <c r="BN67" i="1"/>
  <c r="BM67" i="1"/>
  <c r="BL67" i="1"/>
  <c r="BM93" i="1"/>
  <c r="BK93" i="1"/>
  <c r="BL93" i="1"/>
  <c r="BN93" i="1"/>
  <c r="BM64" i="1"/>
  <c r="BL64" i="1"/>
  <c r="BK64" i="1"/>
  <c r="BN64" i="1"/>
  <c r="BM71" i="1"/>
  <c r="BL71" i="1"/>
  <c r="BN71" i="1"/>
  <c r="BK71" i="1"/>
  <c r="BM58" i="1"/>
  <c r="BL58" i="1"/>
  <c r="BK58" i="1"/>
  <c r="BN58" i="1"/>
  <c r="BM103" i="1"/>
  <c r="BN103" i="1"/>
  <c r="BK103" i="1"/>
  <c r="BL103" i="1"/>
  <c r="BL62" i="1"/>
  <c r="BM62" i="1"/>
  <c r="BN62" i="1"/>
  <c r="BK62" i="1"/>
  <c r="BM97" i="1"/>
  <c r="BN97" i="1"/>
  <c r="BK97" i="1"/>
  <c r="BL97" i="1"/>
  <c r="BN33" i="1"/>
  <c r="BL33" i="1"/>
  <c r="BK33" i="1"/>
  <c r="BM33" i="1"/>
  <c r="BM92" i="1"/>
  <c r="BN92" i="1"/>
  <c r="BL92" i="1"/>
  <c r="BK92" i="1"/>
  <c r="BL28" i="1"/>
  <c r="BN28" i="1"/>
  <c r="BM28" i="1"/>
  <c r="BK28" i="1"/>
  <c r="BL19" i="1"/>
  <c r="BK19" i="1"/>
  <c r="BN19" i="1"/>
  <c r="BM19" i="1"/>
  <c r="BK50" i="1"/>
  <c r="BN50" i="1"/>
  <c r="BM50" i="1"/>
  <c r="BL50" i="1"/>
  <c r="BN106" i="1"/>
  <c r="BM106" i="1"/>
  <c r="BL106" i="1"/>
  <c r="BK106" i="1"/>
  <c r="BL32" i="1"/>
  <c r="BM32" i="1"/>
  <c r="BK32" i="1"/>
  <c r="BN32" i="1"/>
  <c r="BN54" i="1"/>
  <c r="BL54" i="1"/>
  <c r="BK54" i="1"/>
  <c r="BM54" i="1"/>
  <c r="BN53" i="1"/>
  <c r="BK53" i="1"/>
  <c r="BM53" i="1"/>
  <c r="BL53" i="1"/>
  <c r="BN31" i="1"/>
  <c r="BK31" i="1"/>
  <c r="BL31" i="1"/>
  <c r="BM31" i="1"/>
  <c r="BL23" i="1"/>
  <c r="BN23" i="1"/>
  <c r="BM23" i="1"/>
  <c r="BK23" i="1"/>
  <c r="BM73" i="1"/>
  <c r="BN73" i="1"/>
  <c r="BK73" i="1"/>
  <c r="BL73" i="1"/>
  <c r="BK68" i="1"/>
  <c r="BM68" i="1"/>
  <c r="BL68" i="1"/>
  <c r="BN68" i="1"/>
  <c r="BN59" i="1"/>
  <c r="BL59" i="1"/>
  <c r="BM59" i="1"/>
  <c r="BK59" i="1"/>
  <c r="BN42" i="1"/>
  <c r="BM42" i="1"/>
  <c r="BK42" i="1"/>
  <c r="BL42" i="1"/>
  <c r="BM104" i="1"/>
  <c r="BN104" i="1"/>
  <c r="BL104" i="1"/>
  <c r="BK104" i="1"/>
  <c r="BK90" i="1"/>
  <c r="BL90" i="1"/>
  <c r="BN90" i="1"/>
  <c r="BM90" i="1"/>
  <c r="BK22" i="1"/>
  <c r="BM22" i="1"/>
  <c r="BN22" i="1"/>
  <c r="BL22" i="1"/>
  <c r="BK34" i="1"/>
  <c r="BN34" i="1"/>
  <c r="BM34" i="1"/>
  <c r="BL34" i="1"/>
  <c r="BK18" i="1"/>
  <c r="BN18" i="1"/>
  <c r="BM18" i="1"/>
  <c r="BL18" i="1"/>
  <c r="BM65" i="1"/>
  <c r="BN65" i="1"/>
  <c r="BK65" i="1"/>
  <c r="BL65" i="1"/>
  <c r="BL60" i="1"/>
  <c r="BN60" i="1"/>
  <c r="BM60" i="1"/>
  <c r="BK60" i="1"/>
  <c r="BK51" i="1"/>
  <c r="BN51" i="1"/>
  <c r="BL51" i="1"/>
  <c r="BM51" i="1"/>
  <c r="P7" i="1" l="1"/>
  <c r="P8" i="1" s="1"/>
  <c r="BL10" i="1"/>
  <c r="BN10" i="1"/>
  <c r="BK10" i="1"/>
  <c r="BM10" i="1"/>
  <c r="P2" i="1" l="1"/>
</calcChain>
</file>

<file path=xl/sharedStrings.xml><?xml version="1.0" encoding="utf-8"?>
<sst xmlns="http://schemas.openxmlformats.org/spreadsheetml/2006/main" count="45" uniqueCount="23">
  <si>
    <t>tap_timing</t>
  </si>
  <si>
    <t>2a</t>
  </si>
  <si>
    <t>2b</t>
  </si>
  <si>
    <t>2c</t>
  </si>
  <si>
    <t>x</t>
  </si>
  <si>
    <t>2d</t>
  </si>
  <si>
    <t>2e</t>
  </si>
  <si>
    <t>Tolerance</t>
  </si>
  <si>
    <t>Dev</t>
  </si>
  <si>
    <t>%Match</t>
  </si>
  <si>
    <t>MeasureDuration</t>
  </si>
  <si>
    <t>a</t>
  </si>
  <si>
    <t>b</t>
  </si>
  <si>
    <t>duration</t>
  </si>
  <si>
    <t>c</t>
  </si>
  <si>
    <t>d</t>
  </si>
  <si>
    <t>e</t>
  </si>
  <si>
    <t>f</t>
  </si>
  <si>
    <t>2; 4; 8; ... / xtel Takt</t>
  </si>
  <si>
    <t>3; 6; 12; ... / xtel Takt</t>
  </si>
  <si>
    <t>5; 10; 20; ... / xtel Takt</t>
  </si>
  <si>
    <t>7; 14; 28; ... / xtel Takt</t>
  </si>
  <si>
    <t>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</si>
</sst>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_-* #,##0.00000\ _€_-;\-* #,##0.00000\ _€_-;_-* &quot;-&quot;?????\ _€_-;_-@_-"/>
    <numFmt numFmtId="166" formatCode="_-* #,##0.0\ _€_-;\-* #,##0.0\ _€_-;_-* &quot;-&quot;??\ _€_-;_-@_-"/>
    <numFmt numFmtId="167" formatCode="_-* #,##0\ _€_-;\-* #,##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9" fontId="0" fillId="0" borderId="1" xfId="2" applyFont="1" applyBorder="1"/>
    <xf numFmtId="0" fontId="0" fillId="0" borderId="2" xfId="0" applyBorder="1"/>
    <xf numFmtId="9" fontId="0" fillId="0" borderId="2" xfId="2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9" fontId="0" fillId="0" borderId="0" xfId="2" applyFont="1" applyBorder="1"/>
    <xf numFmtId="164" fontId="0" fillId="0" borderId="2" xfId="2" applyNumberFormat="1" applyFont="1" applyBorder="1"/>
    <xf numFmtId="164" fontId="0" fillId="0" borderId="1" xfId="2" applyNumberFormat="1" applyFont="1" applyBorder="1"/>
    <xf numFmtId="164" fontId="0" fillId="0" borderId="4" xfId="0" applyNumberFormat="1" applyBorder="1"/>
    <xf numFmtId="164" fontId="0" fillId="0" borderId="0" xfId="2" applyNumberFormat="1" applyFont="1" applyBorder="1"/>
    <xf numFmtId="9" fontId="0" fillId="0" borderId="4" xfId="2" applyFont="1" applyBorder="1"/>
    <xf numFmtId="167" fontId="0" fillId="0" borderId="0" xfId="2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7" fontId="0" fillId="0" borderId="8" xfId="2" applyNumberFormat="1" applyFont="1" applyBorder="1"/>
    <xf numFmtId="0" fontId="0" fillId="0" borderId="7" xfId="0" applyFill="1" applyBorder="1"/>
    <xf numFmtId="0" fontId="0" fillId="0" borderId="2" xfId="0" applyFill="1" applyBorder="1"/>
    <xf numFmtId="9" fontId="0" fillId="0" borderId="5" xfId="2" applyFont="1" applyBorder="1"/>
    <xf numFmtId="164" fontId="0" fillId="0" borderId="3" xfId="0" applyNumberFormat="1" applyBorder="1"/>
    <xf numFmtId="9" fontId="0" fillId="0" borderId="8" xfId="2" applyFont="1" applyBorder="1"/>
    <xf numFmtId="164" fontId="0" fillId="0" borderId="9" xfId="1" applyNumberFormat="1" applyFont="1" applyBorder="1"/>
    <xf numFmtId="0" fontId="0" fillId="0" borderId="9" xfId="0" applyBorder="1"/>
    <xf numFmtId="165" fontId="0" fillId="0" borderId="9" xfId="0" applyNumberFormat="1" applyBorder="1"/>
    <xf numFmtId="164" fontId="0" fillId="0" borderId="10" xfId="1" applyNumberFormat="1" applyFont="1" applyBorder="1"/>
    <xf numFmtId="0" fontId="0" fillId="0" borderId="10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0" fontId="0" fillId="0" borderId="11" xfId="0" applyBorder="1"/>
    <xf numFmtId="0" fontId="0" fillId="0" borderId="12" xfId="0" applyBorder="1"/>
    <xf numFmtId="164" fontId="0" fillId="0" borderId="13" xfId="1" applyNumberFormat="1" applyFont="1" applyBorder="1"/>
    <xf numFmtId="164" fontId="0" fillId="0" borderId="14" xfId="1" applyNumberFormat="1" applyFont="1" applyBorder="1"/>
    <xf numFmtId="0" fontId="0" fillId="0" borderId="14" xfId="0" applyBorder="1"/>
    <xf numFmtId="164" fontId="0" fillId="0" borderId="15" xfId="1" applyNumberFormat="1" applyFont="1" applyBorder="1"/>
    <xf numFmtId="165" fontId="0" fillId="0" borderId="14" xfId="0" applyNumberFormat="1" applyBorder="1"/>
    <xf numFmtId="164" fontId="0" fillId="0" borderId="16" xfId="1" applyNumberFormat="1" applyFont="1" applyBorder="1"/>
    <xf numFmtId="9" fontId="0" fillId="0" borderId="14" xfId="2" applyFont="1" applyBorder="1"/>
    <xf numFmtId="9" fontId="0" fillId="0" borderId="9" xfId="2" applyFont="1" applyBorder="1"/>
    <xf numFmtId="9" fontId="0" fillId="0" borderId="0" xfId="0" applyNumberFormat="1"/>
    <xf numFmtId="0" fontId="0" fillId="0" borderId="17" xfId="0" applyBorder="1"/>
    <xf numFmtId="0" fontId="0" fillId="0" borderId="18" xfId="0" applyBorder="1"/>
    <xf numFmtId="164" fontId="0" fillId="0" borderId="11" xfId="0" applyNumberFormat="1" applyBorder="1"/>
    <xf numFmtId="164" fontId="0" fillId="0" borderId="12" xfId="0" applyNumberFormat="1" applyBorder="1"/>
    <xf numFmtId="9" fontId="0" fillId="0" borderId="11" xfId="0" applyNumberFormat="1" applyBorder="1"/>
    <xf numFmtId="43" fontId="0" fillId="0" borderId="12" xfId="1" applyFont="1" applyBorder="1"/>
    <xf numFmtId="9" fontId="0" fillId="0" borderId="19" xfId="0" applyNumberFormat="1" applyBorder="1"/>
    <xf numFmtId="43" fontId="0" fillId="0" borderId="20" xfId="1" applyFont="1" applyBorder="1"/>
    <xf numFmtId="0" fontId="0" fillId="0" borderId="21" xfId="0" applyBorder="1"/>
    <xf numFmtId="164" fontId="0" fillId="0" borderId="22" xfId="0" applyNumberFormat="1" applyBorder="1"/>
    <xf numFmtId="43" fontId="0" fillId="0" borderId="22" xfId="1" applyFont="1" applyBorder="1"/>
    <xf numFmtId="43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9" fontId="0" fillId="0" borderId="3" xfId="2" applyFont="1" applyBorder="1" applyAlignment="1">
      <alignment horizontal="center"/>
    </xf>
    <xf numFmtId="9" fontId="0" fillId="0" borderId="4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164" fontId="0" fillId="0" borderId="3" xfId="2" applyNumberFormat="1" applyFont="1" applyBorder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5" xfId="2" applyNumberFormat="1" applyFont="1" applyBorder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90"/>
  <sheetViews>
    <sheetView tabSelected="1" workbookViewId="0">
      <pane xSplit="21" ySplit="10" topLeftCell="V11" activePane="bottomRight" state="frozen"/>
      <selection pane="topRight" activeCell="C1" sqref="C1"/>
      <selection pane="bottomLeft" activeCell="A5" sqref="A5"/>
      <selection pane="bottomRight" activeCell="AA12" sqref="AA12"/>
    </sheetView>
  </sheetViews>
  <sheetFormatPr baseColWidth="10" defaultRowHeight="14.4" x14ac:dyDescent="0.3"/>
  <cols>
    <col min="4" max="4" width="16.33203125" customWidth="1"/>
    <col min="5" max="5" width="12.6640625" hidden="1" customWidth="1"/>
    <col min="6" max="7" width="13.21875" hidden="1" customWidth="1"/>
    <col min="8" max="8" width="13.77734375" hidden="1" customWidth="1"/>
    <col min="9" max="10" width="11.21875" hidden="1" customWidth="1"/>
    <col min="11" max="13" width="13.77734375" hidden="1" customWidth="1"/>
    <col min="14" max="14" width="13.77734375" bestFit="1" customWidth="1"/>
    <col min="15" max="15" width="11.21875" customWidth="1"/>
    <col min="16" max="16" width="11.21875" hidden="1" customWidth="1"/>
    <col min="17" max="19" width="13.77734375" hidden="1" customWidth="1"/>
    <col min="22" max="22" width="11.5546875" style="5" customWidth="1"/>
    <col min="23" max="23" width="11.5546875" style="3" customWidth="1"/>
    <col min="24" max="24" width="15.21875" style="9" bestFit="1" customWidth="1"/>
    <col min="25" max="25" width="11.5546875" style="10"/>
    <col min="26" max="29" width="11.5546875" style="9"/>
    <col min="30" max="30" width="11.5546875" style="3"/>
    <col min="31" max="31" width="11.5546875" style="5" customWidth="1"/>
    <col min="32" max="32" width="11.5546875" style="3" customWidth="1"/>
    <col min="33" max="33" width="15.21875" style="5" bestFit="1" customWidth="1"/>
    <col min="34" max="34" width="11.5546875" style="10"/>
    <col min="35" max="38" width="11.5546875" style="9"/>
    <col min="39" max="39" width="11.5546875" style="3"/>
    <col min="40" max="40" width="11.5546875" style="5" customWidth="1"/>
    <col min="41" max="41" width="11.5546875" style="3" customWidth="1"/>
    <col min="42" max="42" width="15.21875" style="5" bestFit="1" customWidth="1"/>
    <col min="43" max="43" width="0" style="10" hidden="1" customWidth="1"/>
    <col min="44" max="47" width="0" style="9" hidden="1" customWidth="1"/>
    <col min="48" max="48" width="0" style="3" hidden="1" customWidth="1"/>
    <col min="49" max="49" width="11.5546875" style="5"/>
    <col min="50" max="50" width="11.5546875" style="3"/>
    <col min="51" max="51" width="15.21875" style="9" bestFit="1" customWidth="1"/>
    <col min="52" max="52" width="11.5546875" style="10"/>
    <col min="53" max="56" width="11.5546875" style="9"/>
    <col min="57" max="57" width="11.5546875" style="3"/>
    <col min="58" max="58" width="11.5546875" style="9"/>
    <col min="59" max="59" width="11.5546875" style="3"/>
    <col min="60" max="60" width="15.21875" style="9" bestFit="1" customWidth="1"/>
    <col min="61" max="61" width="11.5546875" style="10"/>
    <col min="62" max="65" width="11.5546875" style="9"/>
    <col min="66" max="66" width="11.5546875" style="3"/>
  </cols>
  <sheetData>
    <row r="1" spans="1:66" x14ac:dyDescent="0.3">
      <c r="T1" t="s">
        <v>7</v>
      </c>
      <c r="U1" s="2">
        <v>0.1</v>
      </c>
      <c r="V1" s="17"/>
      <c r="W1" s="18"/>
      <c r="X1" s="19"/>
      <c r="Y1" s="25"/>
      <c r="Z1" s="19"/>
      <c r="AA1" s="20">
        <v>2</v>
      </c>
      <c r="AB1" s="19">
        <v>3</v>
      </c>
      <c r="AC1" s="19">
        <v>5</v>
      </c>
      <c r="AD1" s="21">
        <v>7</v>
      </c>
      <c r="AE1" s="17"/>
      <c r="AF1" s="18"/>
      <c r="AG1" s="17"/>
      <c r="AH1" s="25"/>
      <c r="AI1" s="19"/>
      <c r="AJ1" s="19"/>
      <c r="AK1" s="19"/>
      <c r="AL1" s="19"/>
      <c r="AM1" s="18"/>
      <c r="AN1" s="17"/>
      <c r="AO1" s="18"/>
      <c r="AP1" s="17"/>
      <c r="AQ1" s="25"/>
      <c r="AR1" s="19"/>
      <c r="AS1" s="19"/>
      <c r="AT1" s="19"/>
      <c r="AU1" s="19"/>
      <c r="AV1" s="18"/>
      <c r="AW1" s="17"/>
      <c r="AX1" s="18"/>
      <c r="AY1" s="19"/>
      <c r="AZ1" s="25"/>
      <c r="BA1" s="19"/>
      <c r="BB1" s="19"/>
      <c r="BC1" s="19"/>
      <c r="BD1" s="19"/>
      <c r="BE1" s="18"/>
      <c r="BH1" s="19"/>
      <c r="BI1" s="25"/>
      <c r="BJ1" s="19"/>
      <c r="BK1" s="19"/>
      <c r="BL1" s="19"/>
      <c r="BM1" s="19"/>
      <c r="BN1" s="18"/>
    </row>
    <row r="2" spans="1:66" ht="15" thickBot="1" x14ac:dyDescent="0.35">
      <c r="E2" s="43">
        <f>MAX(E5:E8)</f>
        <v>-0.20190902900834634</v>
      </c>
      <c r="G2" s="55">
        <f>MAX(G5:G8)</f>
        <v>523.52586139029574</v>
      </c>
      <c r="H2" s="43">
        <f>MAX(H5:H8)</f>
        <v>0.2451286408966607</v>
      </c>
      <c r="J2" s="55">
        <f>MAX(J5:J8)</f>
        <v>249.12541079190078</v>
      </c>
      <c r="K2" s="43">
        <f>MAX(K5:K8)</f>
        <v>-7.7471857607646896E-2</v>
      </c>
      <c r="M2" s="55">
        <f>MAX(M5:M8)</f>
        <v>261.83485500542974</v>
      </c>
      <c r="N2" s="43">
        <f>MAX(N5:N8)</f>
        <v>0.99729299663808413</v>
      </c>
      <c r="P2" s="55">
        <f>MAX(P5:P8)</f>
        <v>119.89574283231973</v>
      </c>
      <c r="Q2" s="43">
        <f>MAX(Q5:Q8)</f>
        <v>0.32618650973323687</v>
      </c>
      <c r="S2" s="55">
        <f>MAX(S5:S8)</f>
        <v>126.37825561375875</v>
      </c>
      <c r="U2">
        <v>0.01</v>
      </c>
      <c r="AA2" s="16">
        <v>4</v>
      </c>
      <c r="AB2" s="9">
        <v>6</v>
      </c>
      <c r="AC2" s="9">
        <v>10</v>
      </c>
      <c r="AD2" s="22">
        <v>14</v>
      </c>
    </row>
    <row r="3" spans="1:66" x14ac:dyDescent="0.3">
      <c r="B3" s="57"/>
      <c r="D3" s="43">
        <f>MAX(E5:E8,H5:H8,K5:K8,N5:N8,Q5:Q8)</f>
        <v>0.99729299663808413</v>
      </c>
      <c r="E3" s="44" t="s">
        <v>11</v>
      </c>
      <c r="F3" s="45"/>
      <c r="G3" s="52"/>
      <c r="H3" s="44" t="s">
        <v>12</v>
      </c>
      <c r="I3" s="45"/>
      <c r="J3" s="52"/>
      <c r="K3" s="44" t="s">
        <v>14</v>
      </c>
      <c r="L3" s="45"/>
      <c r="M3" s="52"/>
      <c r="N3" s="44" t="s">
        <v>15</v>
      </c>
      <c r="O3" s="45"/>
      <c r="P3" s="52"/>
      <c r="Q3" s="44" t="s">
        <v>16</v>
      </c>
      <c r="R3" s="45" t="s">
        <v>17</v>
      </c>
      <c r="S3" s="52"/>
      <c r="AA3" s="16"/>
      <c r="AD3" s="22"/>
    </row>
    <row r="4" spans="1:66" x14ac:dyDescent="0.3">
      <c r="D4" t="s">
        <v>13</v>
      </c>
      <c r="E4" s="46">
        <f>X10</f>
        <v>802.25263157894733</v>
      </c>
      <c r="F4" s="47" t="s">
        <v>22</v>
      </c>
      <c r="G4" s="53"/>
      <c r="H4" s="46">
        <f>AG10</f>
        <v>1204.2127659574469</v>
      </c>
      <c r="I4" s="47" t="s">
        <v>22</v>
      </c>
      <c r="J4" s="53"/>
      <c r="K4" s="46">
        <f>AP10</f>
        <v>1604.0645161290322</v>
      </c>
      <c r="L4" s="47" t="s">
        <v>22</v>
      </c>
      <c r="M4" s="53"/>
      <c r="N4" s="46">
        <f>AY10</f>
        <v>2001.7391304347825</v>
      </c>
      <c r="O4" s="47" t="s">
        <v>22</v>
      </c>
      <c r="P4" s="53"/>
      <c r="Q4" s="46">
        <f>BH10</f>
        <v>2373.8260869565215</v>
      </c>
      <c r="R4" s="47" t="s">
        <v>22</v>
      </c>
      <c r="S4" s="53"/>
      <c r="AA4" s="16"/>
      <c r="AD4" s="22"/>
    </row>
    <row r="5" spans="1:66" x14ac:dyDescent="0.3">
      <c r="A5" s="43">
        <f>MAX(E5,H5,K5,N5,Q5)</f>
        <v>0.99729299663808413</v>
      </c>
      <c r="B5" s="56">
        <f>IF(A5=$D$3,C5,)</f>
        <v>4</v>
      </c>
      <c r="C5">
        <v>4</v>
      </c>
      <c r="D5" t="s">
        <v>18</v>
      </c>
      <c r="E5" s="48">
        <f>AA10</f>
        <v>-0.20190902900834634</v>
      </c>
      <c r="F5" s="49">
        <f>60000/(E4/C5)</f>
        <v>299.15763508016903</v>
      </c>
      <c r="G5" s="54">
        <f>IF(E5=$E$2,F5,G4)</f>
        <v>299.15763508016903</v>
      </c>
      <c r="H5" s="48">
        <f>AJ10</f>
        <v>-0.13381872752439194</v>
      </c>
      <c r="I5" s="49">
        <f>60000/(H4/C5)</f>
        <v>199.30032863352059</v>
      </c>
      <c r="J5" s="54">
        <f>IF(H5=$H$2,I5,J4)</f>
        <v>0</v>
      </c>
      <c r="K5" s="48">
        <f>AS10</f>
        <v>-7.7471857607646896E-2</v>
      </c>
      <c r="L5" s="49">
        <f>60000/(K4/C5)</f>
        <v>149.61991714595987</v>
      </c>
      <c r="M5" s="54">
        <f>IF(K5=$K$2,L5,M4)</f>
        <v>149.61991714595987</v>
      </c>
      <c r="N5" s="48">
        <f>BB10</f>
        <v>0.99729299663808413</v>
      </c>
      <c r="O5" s="49">
        <f>60000/(N4/C5)</f>
        <v>119.89574283231973</v>
      </c>
      <c r="P5" s="54">
        <f>IF(N5=$N$2,O5,P4)</f>
        <v>119.89574283231973</v>
      </c>
      <c r="Q5" s="48">
        <f>BK10</f>
        <v>-5.276085868781577E-2</v>
      </c>
      <c r="R5" s="49">
        <f>60000/(Q4/C5)</f>
        <v>101.102604491007</v>
      </c>
      <c r="S5" s="54">
        <f>IF(Q5=$Q$2,R5,S4)</f>
        <v>0</v>
      </c>
      <c r="AA5" s="16"/>
      <c r="AD5" s="22"/>
    </row>
    <row r="6" spans="1:66" x14ac:dyDescent="0.3">
      <c r="A6" s="43">
        <f t="shared" ref="A6:A8" si="0">MAX(E6,H6,K6,N6,Q6)</f>
        <v>-2.7070033619158644E-3</v>
      </c>
      <c r="B6" s="56">
        <f t="shared" ref="B6:B8" si="1">IF(A6=$D$3,C6,)</f>
        <v>0</v>
      </c>
      <c r="C6">
        <v>3</v>
      </c>
      <c r="D6" t="s">
        <v>19</v>
      </c>
      <c r="E6" s="48">
        <f>AB10</f>
        <v>-0.20190902900834634</v>
      </c>
      <c r="F6" s="49">
        <f>60000/(E4/C6)</f>
        <v>224.36822631012674</v>
      </c>
      <c r="G6" s="54">
        <f t="shared" ref="G6:G8" si="2">IF(E6=$E$2,F6,G5)</f>
        <v>224.36822631012674</v>
      </c>
      <c r="H6" s="48">
        <f>AK10</f>
        <v>-0.13381872752439194</v>
      </c>
      <c r="I6" s="49">
        <f>60000/(H4/C6)</f>
        <v>149.47524647514047</v>
      </c>
      <c r="J6" s="54">
        <f t="shared" ref="J6:J8" si="3">IF(H6=$H$2,I6,J5)</f>
        <v>0</v>
      </c>
      <c r="K6" s="48">
        <f>AT10</f>
        <v>-7.7471857607646896E-2</v>
      </c>
      <c r="L6" s="49">
        <f>60000/(K4/C6)</f>
        <v>112.21493785946991</v>
      </c>
      <c r="M6" s="54">
        <f t="shared" ref="M6:M8" si="4">IF(K6=$K$2,L6,M5)</f>
        <v>112.21493785946991</v>
      </c>
      <c r="N6" s="48">
        <f>BC10</f>
        <v>-2.7070033619158644E-3</v>
      </c>
      <c r="O6" s="49">
        <f>60000/(N4/C6)</f>
        <v>89.921807124239805</v>
      </c>
      <c r="P6" s="54">
        <f t="shared" ref="P6:P8" si="5">IF(N6=$N$2,O6,P5)</f>
        <v>119.89574283231973</v>
      </c>
      <c r="Q6" s="48">
        <f>BL10</f>
        <v>-5.276085868781577E-2</v>
      </c>
      <c r="R6" s="49">
        <f>60000/(Q4/C6)</f>
        <v>75.826953368255261</v>
      </c>
      <c r="S6" s="54">
        <f t="shared" ref="S6:S8" si="6">IF(Q6=$Q$2,R6,S5)</f>
        <v>0</v>
      </c>
      <c r="AA6" s="16"/>
      <c r="AD6" s="22"/>
    </row>
    <row r="7" spans="1:66" x14ac:dyDescent="0.3">
      <c r="A7" s="43">
        <f t="shared" si="0"/>
        <v>0.32618650973323687</v>
      </c>
      <c r="B7" s="56">
        <f t="shared" si="1"/>
        <v>0</v>
      </c>
      <c r="C7">
        <v>5</v>
      </c>
      <c r="D7" t="s">
        <v>20</v>
      </c>
      <c r="E7" s="48">
        <f>AC10</f>
        <v>-0.20190902900834634</v>
      </c>
      <c r="F7" s="49">
        <f>60000/(E4/C7)</f>
        <v>373.94704385021129</v>
      </c>
      <c r="G7" s="54">
        <f t="shared" si="2"/>
        <v>373.94704385021129</v>
      </c>
      <c r="H7" s="48">
        <f>AL10</f>
        <v>0.2451286408966607</v>
      </c>
      <c r="I7" s="49">
        <f>60000/(H4/C7)</f>
        <v>249.12541079190078</v>
      </c>
      <c r="J7" s="54">
        <f t="shared" si="3"/>
        <v>249.12541079190078</v>
      </c>
      <c r="K7" s="48">
        <f>AU10</f>
        <v>-7.7471857607646896E-2</v>
      </c>
      <c r="L7" s="49">
        <f>60000/(K4/C7)</f>
        <v>187.02489643244982</v>
      </c>
      <c r="M7" s="54">
        <f t="shared" si="4"/>
        <v>187.02489643244982</v>
      </c>
      <c r="N7" s="48">
        <f>BD10</f>
        <v>-2.7070033619158644E-3</v>
      </c>
      <c r="O7" s="49">
        <f>60000/(N4/C7)</f>
        <v>149.86967854039966</v>
      </c>
      <c r="P7" s="54">
        <f t="shared" si="5"/>
        <v>119.89574283231973</v>
      </c>
      <c r="Q7" s="48">
        <f>BM10</f>
        <v>0.32618650973323687</v>
      </c>
      <c r="R7" s="49">
        <f>60000/(Q4/C7)</f>
        <v>126.37825561375875</v>
      </c>
      <c r="S7" s="54">
        <f t="shared" si="6"/>
        <v>126.37825561375875</v>
      </c>
      <c r="V7" s="2" t="s">
        <v>8</v>
      </c>
      <c r="W7" s="3" t="s">
        <v>9</v>
      </c>
      <c r="X7" s="9" t="s">
        <v>10</v>
      </c>
      <c r="AA7" s="16">
        <v>8</v>
      </c>
      <c r="AB7" s="9">
        <v>12</v>
      </c>
      <c r="AC7" s="9">
        <v>20</v>
      </c>
      <c r="AD7" s="22">
        <v>28</v>
      </c>
      <c r="AG7" s="5" t="s">
        <v>10</v>
      </c>
      <c r="AP7" s="5" t="s">
        <v>10</v>
      </c>
      <c r="AY7" s="9" t="s">
        <v>10</v>
      </c>
      <c r="BH7" s="9" t="s">
        <v>10</v>
      </c>
    </row>
    <row r="8" spans="1:66" ht="15" thickBot="1" x14ac:dyDescent="0.35">
      <c r="A8" s="43">
        <f t="shared" si="0"/>
        <v>-2.7070033619158644E-3</v>
      </c>
      <c r="B8" s="56">
        <f t="shared" si="1"/>
        <v>0</v>
      </c>
      <c r="C8">
        <v>7</v>
      </c>
      <c r="D8" t="s">
        <v>21</v>
      </c>
      <c r="E8" s="50">
        <f>AD10</f>
        <v>-0.20190902900834634</v>
      </c>
      <c r="F8" s="51">
        <f>60000/(E4/C8)</f>
        <v>523.52586139029574</v>
      </c>
      <c r="G8" s="54">
        <f t="shared" si="2"/>
        <v>523.52586139029574</v>
      </c>
      <c r="H8" s="50">
        <f>AM10</f>
        <v>-0.13381872752439194</v>
      </c>
      <c r="I8" s="51">
        <f>60000/(H4/C8)</f>
        <v>348.77557510866103</v>
      </c>
      <c r="J8" s="54">
        <f t="shared" si="3"/>
        <v>249.12541079190078</v>
      </c>
      <c r="K8" s="50">
        <f>AV10</f>
        <v>-7.7471857607646896E-2</v>
      </c>
      <c r="L8" s="51">
        <f>60000/(K4/C8)</f>
        <v>261.83485500542974</v>
      </c>
      <c r="M8" s="54">
        <f t="shared" si="4"/>
        <v>261.83485500542974</v>
      </c>
      <c r="N8" s="50">
        <f>BE10</f>
        <v>-2.7070033619158644E-3</v>
      </c>
      <c r="O8" s="51">
        <f>60000/(N4/C8)</f>
        <v>209.81754995655953</v>
      </c>
      <c r="P8" s="54">
        <f t="shared" si="5"/>
        <v>119.89574283231973</v>
      </c>
      <c r="Q8" s="50">
        <f>BN10</f>
        <v>-5.276085868781577E-2</v>
      </c>
      <c r="R8" s="51">
        <f>60000/(Q4/C8)</f>
        <v>176.92955785926227</v>
      </c>
      <c r="S8" s="54">
        <f t="shared" si="6"/>
        <v>126.37825561375875</v>
      </c>
      <c r="V8" s="2">
        <f>AVERAGE(V12:V66)</f>
        <v>0.30380762970762726</v>
      </c>
      <c r="W8" s="4">
        <f>AVERAGE(W12:W66)</f>
        <v>1</v>
      </c>
      <c r="X8" s="10"/>
      <c r="AA8" s="16">
        <v>16</v>
      </c>
      <c r="AB8" s="14">
        <v>24</v>
      </c>
      <c r="AC8" s="14">
        <v>40</v>
      </c>
      <c r="AD8" s="11">
        <v>56</v>
      </c>
      <c r="AE8" s="2">
        <f>AVERAGE(AE12:AE66)</f>
        <v>0.5942238665643641</v>
      </c>
      <c r="AF8" s="11">
        <f>AVERAGE(AF13:AF66)</f>
        <v>1</v>
      </c>
      <c r="AG8" s="2"/>
      <c r="AN8" s="12">
        <f>AVERAGE(AN14:AN66)</f>
        <v>0.60610400461151726</v>
      </c>
      <c r="AO8" s="11">
        <f>AVERAGE(AO14:AO106)</f>
        <v>1</v>
      </c>
      <c r="AP8" s="2"/>
      <c r="AW8" s="12">
        <f>AVERAGE(AW15:AW66)</f>
        <v>0.30127186435900516</v>
      </c>
      <c r="AX8" s="11">
        <f>AVERAGE(AX15:AX66)</f>
        <v>0.59615384615384615</v>
      </c>
      <c r="AY8" s="10"/>
      <c r="BF8" s="14">
        <f>AVERAGE(BF16:BF66)</f>
        <v>0</v>
      </c>
      <c r="BG8" s="11">
        <f>AVERAGE(BG16:BG66)</f>
        <v>1</v>
      </c>
      <c r="BH8" s="10"/>
    </row>
    <row r="9" spans="1:66" ht="15" thickBot="1" x14ac:dyDescent="0.35">
      <c r="V9" s="58" t="str">
        <f>V10</f>
        <v>2a</v>
      </c>
      <c r="W9" s="59"/>
      <c r="X9" s="59"/>
      <c r="Y9" s="59"/>
      <c r="Z9" s="59"/>
      <c r="AA9" s="59"/>
      <c r="AB9" s="59"/>
      <c r="AC9" s="59"/>
      <c r="AD9" s="60"/>
      <c r="AE9" s="58" t="str">
        <f>AE10</f>
        <v>2b</v>
      </c>
      <c r="AF9" s="59"/>
      <c r="AG9" s="59"/>
      <c r="AH9" s="59"/>
      <c r="AI9" s="59"/>
      <c r="AJ9" s="59"/>
      <c r="AK9" s="59"/>
      <c r="AL9" s="59"/>
      <c r="AM9" s="60"/>
      <c r="AN9" s="61" t="str">
        <f>AN10</f>
        <v>2c</v>
      </c>
      <c r="AO9" s="62"/>
      <c r="AP9" s="62"/>
      <c r="AQ9" s="62"/>
      <c r="AR9" s="62"/>
      <c r="AS9" s="62"/>
      <c r="AT9" s="62"/>
      <c r="AU9" s="62"/>
      <c r="AV9" s="63"/>
      <c r="AW9" s="61" t="str">
        <f>AW10</f>
        <v>2d</v>
      </c>
      <c r="AX9" s="62"/>
      <c r="AY9" s="62"/>
      <c r="AZ9" s="62"/>
      <c r="BA9" s="62"/>
      <c r="BB9" s="62"/>
      <c r="BC9" s="62"/>
      <c r="BD9" s="62"/>
      <c r="BE9" s="63"/>
      <c r="BF9" s="61" t="str">
        <f>BF10</f>
        <v>2e</v>
      </c>
      <c r="BG9" s="62"/>
      <c r="BH9" s="62"/>
      <c r="BI9" s="62"/>
      <c r="BJ9" s="62"/>
      <c r="BK9" s="62"/>
      <c r="BL9" s="62"/>
      <c r="BM9" s="62"/>
      <c r="BN9" s="63"/>
    </row>
    <row r="10" spans="1:66" s="7" customFormat="1" ht="15" thickBot="1" x14ac:dyDescent="0.35">
      <c r="T10" s="6"/>
      <c r="U10" s="7" t="s">
        <v>0</v>
      </c>
      <c r="V10" s="6" t="s">
        <v>1</v>
      </c>
      <c r="W10" s="8">
        <v>2</v>
      </c>
      <c r="X10" s="13">
        <f>AVERAGE(X12:X106)</f>
        <v>802.25263157894733</v>
      </c>
      <c r="Y10" s="15">
        <f>AVERAGE(Y12:Y106)</f>
        <v>0.20190902900834634</v>
      </c>
      <c r="AA10" s="15">
        <f>AVERAGE(AA12:AA106)-Y10</f>
        <v>-0.20190902900834634</v>
      </c>
      <c r="AB10" s="15">
        <f>AVERAGE(AB12:AB106)-Y10</f>
        <v>-0.20190902900834634</v>
      </c>
      <c r="AC10" s="15">
        <f>AVERAGE(AC12:AC106)-Y10</f>
        <v>-0.20190902900834634</v>
      </c>
      <c r="AD10" s="23">
        <f>AVERAGE(AD12:AD106)-Y10</f>
        <v>-0.20190902900834634</v>
      </c>
      <c r="AE10" s="6" t="s">
        <v>2</v>
      </c>
      <c r="AF10" s="8">
        <v>3</v>
      </c>
      <c r="AG10" s="24">
        <f>AVERAGE(AG12:AG106)</f>
        <v>1204.2127659574469</v>
      </c>
      <c r="AH10" s="15">
        <f>AVERAGE(AH13:AH106)</f>
        <v>0.13381872752439194</v>
      </c>
      <c r="AJ10" s="15">
        <f>AVERAGE(AJ12:AJ106)-AH10</f>
        <v>-0.13381872752439194</v>
      </c>
      <c r="AK10" s="15">
        <f>AVERAGE(AK12:AK106)-AH10</f>
        <v>-0.13381872752439194</v>
      </c>
      <c r="AL10" s="15">
        <f>AVERAGE(AL12:AL106)-AH10</f>
        <v>0.2451286408966607</v>
      </c>
      <c r="AM10" s="23">
        <f>AVERAGE(AM12:AM106)-AH10</f>
        <v>-0.13381872752439194</v>
      </c>
      <c r="AN10" s="6" t="s">
        <v>3</v>
      </c>
      <c r="AO10" s="8">
        <v>4</v>
      </c>
      <c r="AP10" s="24">
        <f>AVERAGE(AP14:AP106)</f>
        <v>1604.0645161290322</v>
      </c>
      <c r="AQ10" s="15">
        <f>AVERAGE(AQ14:AQ106)</f>
        <v>7.7471857607646896E-2</v>
      </c>
      <c r="AS10" s="15">
        <f>AVERAGE(AS12:AS106)-AQ10</f>
        <v>-7.7471857607646896E-2</v>
      </c>
      <c r="AT10" s="15">
        <f>AVERAGE(AT12:AT106)-AQ10</f>
        <v>-7.7471857607646896E-2</v>
      </c>
      <c r="AU10" s="15">
        <f>AVERAGE(AU12:AU106)-AQ10</f>
        <v>-7.7471857607646896E-2</v>
      </c>
      <c r="AV10" s="23">
        <f>AVERAGE(AV12:AV106)-AQ10</f>
        <v>-7.7471857607646896E-2</v>
      </c>
      <c r="AW10" s="6" t="s">
        <v>5</v>
      </c>
      <c r="AX10" s="8"/>
      <c r="AY10" s="13">
        <f>AVERAGE(AY15:AY106)</f>
        <v>2001.7391304347825</v>
      </c>
      <c r="AZ10" s="15">
        <f>AVERAGE(AZ15:AZ106)</f>
        <v>2.7070033619158644E-3</v>
      </c>
      <c r="BB10" s="15">
        <f>AVERAGE(BB12:BB106)-AZ10</f>
        <v>0.99729299663808413</v>
      </c>
      <c r="BC10" s="15">
        <f>AVERAGE(BC12:BC106)-AZ10</f>
        <v>-2.7070033619158644E-3</v>
      </c>
      <c r="BD10" s="15">
        <f>AVERAGE(BD12:BD106)-AZ10</f>
        <v>-2.7070033619158644E-3</v>
      </c>
      <c r="BE10" s="23">
        <f>AVERAGE(BE12:BE106)-AZ10</f>
        <v>-2.7070033619158644E-3</v>
      </c>
      <c r="BF10" s="7" t="s">
        <v>6</v>
      </c>
      <c r="BG10" s="8"/>
      <c r="BH10" s="13">
        <f>AVERAGE(BH15:BH106)</f>
        <v>2373.8260869565215</v>
      </c>
      <c r="BI10" s="15">
        <f>AVERAGE(BI16:BI106)</f>
        <v>5.276085868781577E-2</v>
      </c>
      <c r="BK10" s="15">
        <f>AVERAGE(BK12:BK106)-BI10</f>
        <v>-5.276085868781577E-2</v>
      </c>
      <c r="BL10" s="15">
        <f>AVERAGE(BL12:BL106)-BI10</f>
        <v>-5.276085868781577E-2</v>
      </c>
      <c r="BM10" s="15">
        <f>AVERAGE(BM12:BM106)-BI10</f>
        <v>0.32618650973323687</v>
      </c>
      <c r="BN10" s="23">
        <f>AVERAGE(BN12:BN106)-BI10</f>
        <v>-5.276085868781577E-2</v>
      </c>
    </row>
    <row r="11" spans="1:66" x14ac:dyDescent="0.3">
      <c r="U11">
        <v>249</v>
      </c>
      <c r="V11" s="35" t="s">
        <v>4</v>
      </c>
      <c r="W11" s="36"/>
      <c r="X11" s="36"/>
      <c r="Y11" s="41"/>
      <c r="Z11" s="37"/>
      <c r="AA11" s="36"/>
      <c r="AB11" s="36"/>
      <c r="AC11" s="36"/>
      <c r="AD11" s="38"/>
      <c r="AE11" s="35" t="s">
        <v>4</v>
      </c>
      <c r="AF11" s="36"/>
      <c r="AG11" s="36"/>
      <c r="AH11" s="41"/>
      <c r="AI11" s="37"/>
      <c r="AJ11" s="36"/>
      <c r="AK11" s="36"/>
      <c r="AL11" s="36"/>
      <c r="AM11" s="38"/>
      <c r="AN11" s="35" t="s">
        <v>4</v>
      </c>
      <c r="AO11" s="36"/>
      <c r="AP11" s="36"/>
      <c r="AQ11" s="41"/>
      <c r="AR11" s="39">
        <f t="shared" ref="AR11:AR42" si="7">U11/$AP$10</f>
        <v>0.15523066403893335</v>
      </c>
      <c r="AS11" s="36"/>
      <c r="AT11" s="36"/>
      <c r="AU11" s="36"/>
      <c r="AV11" s="38"/>
      <c r="AW11" s="35" t="s">
        <v>4</v>
      </c>
      <c r="AX11" s="36"/>
      <c r="AY11" s="36"/>
      <c r="AZ11" s="41"/>
      <c r="BA11" s="39">
        <f>U12/$AP$10</f>
        <v>0.15585408036037485</v>
      </c>
      <c r="BB11" s="26">
        <f t="shared" ref="BB11:BB42" si="8">IF(OR(ABS(BA11-(1/$AA$1))&lt;$U$2,ABS(BA11-(1/$AA$2))&lt;$U$2,ABS(BA11-(1/$AA$7))&lt;$U$2,ABS(BA11-(1/$AA$8))&lt;$U$2),1,0)</f>
        <v>0</v>
      </c>
      <c r="BC11" s="26">
        <f>IF(OR(ABS(AY11-(1/$AB$1))&lt;$U$2,ABS(AY11-(1/$AB$2))&lt;$U$2,ABS(AY11-(1/$AB$7))&lt;$U$2,ABS(AY11-(1/$AB$8))&lt;$U$2),1,0)</f>
        <v>0</v>
      </c>
      <c r="BD11" s="26">
        <f>IF(OR(ABS(AY11-(1/$AC$1))&lt;$U$2,ABS(AY11-(1/$AC$2))&lt;$U$2,ABS(AY11-(1/$AC$7))&lt;$U$2,ABS(AY11-(1/$AC$8))&lt;$U$2),1,0)</f>
        <v>0</v>
      </c>
      <c r="BE11" s="32">
        <f>IF(OR(ABS(AY11-(1/$AD$1))&lt;$U$2,ABS(AY11-(1/$AD$2))&lt;$U$2,ABS(AY11-(1/$AD$7))&lt;$U$2,ABS(AY11-(1/$AD$8))&lt;$U$2),1,0)</f>
        <v>0</v>
      </c>
      <c r="BF11" s="40" t="s">
        <v>4</v>
      </c>
      <c r="BG11" s="36"/>
      <c r="BH11" s="36"/>
      <c r="BI11" s="41"/>
      <c r="BJ11" s="39">
        <f>AK11/$AP$10</f>
        <v>0</v>
      </c>
      <c r="BK11" s="36"/>
      <c r="BL11" s="36"/>
      <c r="BM11" s="36"/>
      <c r="BN11" s="38"/>
    </row>
    <row r="12" spans="1:66" x14ac:dyDescent="0.3">
      <c r="U12">
        <v>250</v>
      </c>
      <c r="V12" s="31">
        <f>ABS(U12-U11)/U12</f>
        <v>4.0000000000000001E-3</v>
      </c>
      <c r="W12" s="26">
        <f t="shared" ref="W12:W43" si="9">IF(OR(V12&lt;=$U$1,ABS(V12-0.5)&lt;=$U$1,ABS(V12-1)&lt;=$U$1),1,0)</f>
        <v>1</v>
      </c>
      <c r="X12" s="26">
        <f t="shared" ref="X12:X43" si="10">SUM(U11:U12)</f>
        <v>499</v>
      </c>
      <c r="Y12" s="42">
        <f t="shared" ref="Y12:Y43" si="11">ABS($X$10-X12)/$X$10</f>
        <v>0.37800141706248191</v>
      </c>
      <c r="Z12" s="28">
        <f t="shared" ref="Z12:Z43" si="12">U12/$X$10</f>
        <v>0.31162253654184274</v>
      </c>
      <c r="AA12" s="26">
        <f t="shared" ref="AA12:AA43" si="13">IF(OR(ABS(Z12-(1/$AA$1))&lt;$U$2,ABS(Z12-(1/$AA$2))&lt;$U$2,ABS(Z12-(1/$AA$7))&lt;$U$2,ABS(Z12-(1/$AA$8))&lt;$U$2),1,0)</f>
        <v>0</v>
      </c>
      <c r="AB12" s="26">
        <f>IF(OR(ABS(Z12-(1/$AB$1))&lt;$U$2,ABS(Z12-(1/$AB$2))&lt;$U$2,ABS(Z12-(1/$AB$7))&lt;$U$2,ABS(Z12-(1/$AB$8))&lt;$U$2),1,0)</f>
        <v>0</v>
      </c>
      <c r="AC12" s="26">
        <f t="shared" ref="AC12:AC43" si="14">IF(OR(ABS(Z12-(1/$AC$1))&lt;$U$2,ABS(Z12-(1/$AC$2))&lt;$U$2,ABS(Z12-(1/$AC$7))&lt;$U$2,ABS(Z12-(1/$AC$8))&lt;$U$2),1,0)</f>
        <v>0</v>
      </c>
      <c r="AD12" s="32">
        <f t="shared" ref="AD12:AD43" si="15">IF(OR(ABS(Z12-(1/$AD$1))&lt;$U$2,ABS(Z12-(1/$AD$2))&lt;$U$2,ABS(Z12-(1/$AD$7))&lt;$U$2,ABS(Z12-(1/$AD$8))&lt;$U$2),1,0)</f>
        <v>0</v>
      </c>
      <c r="AE12" s="31" t="s">
        <v>4</v>
      </c>
      <c r="AF12" s="26">
        <f>IF(AE12&lt;=$U$1,1,0)</f>
        <v>0</v>
      </c>
      <c r="AG12" s="26"/>
      <c r="AH12" s="42"/>
      <c r="AI12" s="27"/>
      <c r="AJ12" s="26">
        <f>IF(OR(ABS(AG12-(1/$AA$1))&lt;$U$2,ABS(AG12-(1/$AA$2))&lt;$U$2,ABS(AG12-(1/$AA$7))&lt;$U$2,ABS(AG12-(1/$AA$8))&lt;$U$2),1,0)</f>
        <v>0</v>
      </c>
      <c r="AK12" s="26">
        <f>IF(OR(ABS(AG12-(1/$AB$1))&lt;$U$2,ABS(AG12-(1/$AB$2))&lt;$U$2,ABS(AG12-(1/$AB$7))&lt;$U$2,ABS(AG12-(1/$AB$8))&lt;$U$2),1,0)</f>
        <v>0</v>
      </c>
      <c r="AL12" s="26">
        <f>IF(OR(ABS(AG12-(1/$AC$1))&lt;$U$2,ABS(AG12-(1/$AC$2))&lt;$U$2,ABS(AG12-(1/$AC$7))&lt;$U$2,ABS(AG12-(1/$AC$8))&lt;$U$2),1,0)</f>
        <v>0</v>
      </c>
      <c r="AM12" s="32">
        <f>IF(OR(ABS(AG12-(1/$AD$1))&lt;$U$2,ABS(AG12-(1/$AD$2))&lt;$U$2,ABS(AG12-(1/$AD$7))&lt;$U$2,ABS(AG12-(1/$AD$8))&lt;$U$2),1,0)</f>
        <v>0</v>
      </c>
      <c r="AN12" s="31" t="s">
        <v>4</v>
      </c>
      <c r="AO12" s="26">
        <f>IF(AN12&lt;=$U$1,1,0)</f>
        <v>0</v>
      </c>
      <c r="AP12" s="26"/>
      <c r="AQ12" s="42"/>
      <c r="AR12" s="28">
        <f t="shared" si="7"/>
        <v>0.15585408036037485</v>
      </c>
      <c r="AS12" s="26">
        <f>IF(OR(ABS(AP12-(1/$AA$1))&lt;$U$2,ABS(AP12-(1/$AA$2))&lt;$U$2,ABS(AP12-(1/$AA$7))&lt;$U$2,ABS(AP12-(1/$AA$8))&lt;$U$2),1,0)</f>
        <v>0</v>
      </c>
      <c r="AT12" s="26">
        <f>IF(OR(ABS(AP12-(1/$AB$1))&lt;$U$2,ABS(AP12-(1/$AB$2))&lt;$U$2,ABS(AP12-(1/$AB$7))&lt;$U$2,ABS(AP12-(1/$AB$8))&lt;$U$2),1,0)</f>
        <v>0</v>
      </c>
      <c r="AU12" s="26">
        <f>IF(OR(ABS(AP12-(1/$AC$1))&lt;$U$2,ABS(AP12-(1/$AC$2))&lt;$U$2,ABS(AP12-(1/$AC$7))&lt;$U$2,ABS(AP12-(1/$AC$8))&lt;$U$2),1,0)</f>
        <v>0</v>
      </c>
      <c r="AV12" s="32">
        <f>IF(OR(ABS(AP12-(1/$AD$1))&lt;$U$2,ABS(AP12-(1/$AD$2))&lt;$U$2,ABS(AP12-(1/$AD$7))&lt;$U$2,ABS(AP12-(1/$AD$8))&lt;$U$2),1,0)</f>
        <v>0</v>
      </c>
      <c r="AW12" s="31" t="s">
        <v>4</v>
      </c>
      <c r="AX12" s="26">
        <f t="shared" ref="AX12:AX43" si="16">IF(AW12&lt;=$U$1,1,0)</f>
        <v>0</v>
      </c>
      <c r="AY12" s="26"/>
      <c r="AZ12" s="42"/>
      <c r="BA12" s="28">
        <f>U12/$AY$10</f>
        <v>0.12489139878366638</v>
      </c>
      <c r="BB12" s="26">
        <f>IF(OR(ABS(BA12-(1/$AA$1))&lt;$U$2,ABS(BA12-(1/$AA$2))&lt;$U$2,ABS(BA12-(1/$AA$7))&lt;$U$2,ABS(BA12-(1/$AA$8))&lt;$U$2),1,0)</f>
        <v>1</v>
      </c>
      <c r="BC12" s="26">
        <f>IF(OR(ABS(AY12-(1/$AB$1))&lt;$U$2,ABS(AY12-(1/$AB$2))&lt;$U$2,ABS(AY12-(1/$AB$7))&lt;$U$2,ABS(AY12-(1/$AB$8))&lt;$U$2),1,0)</f>
        <v>0</v>
      </c>
      <c r="BD12" s="26">
        <f>IF(OR(ABS(AY12-(1/$AC$1))&lt;$U$2,ABS(AY12-(1/$AC$2))&lt;$U$2,ABS(AY12-(1/$AC$7))&lt;$U$2,ABS(AY12-(1/$AC$8))&lt;$U$2),1,0)</f>
        <v>0</v>
      </c>
      <c r="BE12" s="32">
        <f>IF(OR(ABS(AY12-(1/$AD$1))&lt;$U$2,ABS(AY12-(1/$AD$2))&lt;$U$2,ABS(AY12-(1/$AD$7))&lt;$U$2,ABS(AY12-(1/$AD$8))&lt;$U$2),1,0)</f>
        <v>0</v>
      </c>
      <c r="BF12" s="29" t="s">
        <v>4</v>
      </c>
      <c r="BG12" s="26">
        <f t="shared" ref="BG12:BG43" si="17">IF(BF12&lt;=$U$1,1,0)</f>
        <v>0</v>
      </c>
      <c r="BH12" s="26"/>
      <c r="BI12" s="42"/>
      <c r="BJ12" s="28">
        <f>AD12/$AY$10</f>
        <v>0</v>
      </c>
      <c r="BK12" s="26">
        <f>IF(OR(ABS(BH12-(1/$AA$1))&lt;$U$2,ABS(BH12-(1/$AA$2))&lt;$U$2,ABS(BH12-(1/$AA$7))&lt;$U$2,ABS(BH12-(1/$AA$8))&lt;$U$2),1,0)</f>
        <v>0</v>
      </c>
      <c r="BL12" s="26">
        <f>IF(OR(ABS(BH12-(1/$AB$1))&lt;$U$2,ABS(BH12-(1/$AB$2))&lt;$U$2,ABS(BH12-(1/$AB$7))&lt;$U$2,ABS(BH12-(1/$AB$8))&lt;$U$2),1,0)</f>
        <v>0</v>
      </c>
      <c r="BM12" s="26">
        <f>IF(OR(ABS(BH12-(1/$AC$1))&lt;$U$2,ABS(BH12-(1/$AC$2))&lt;$U$2,ABS(BH12-(1/$AC$7))&lt;$U$2,ABS(BH12-(1/$AC$8))&lt;$U$2),1,0)</f>
        <v>0</v>
      </c>
      <c r="BN12" s="32">
        <f>IF(OR(ABS(BH12-(1/$AD$1))&lt;$U$2,ABS(BH12-(1/$AD$2))&lt;$U$2,ABS(BH12-(1/$AD$7))&lt;$U$2,ABS(BH12-(1/$AD$8))&lt;$U$2),1,0)</f>
        <v>0</v>
      </c>
    </row>
    <row r="13" spans="1:66" x14ac:dyDescent="0.3">
      <c r="U13">
        <v>501</v>
      </c>
      <c r="V13" s="31">
        <f t="shared" ref="V13:V76" si="18">ABS(U13-U12)/U13</f>
        <v>0.50099800399201599</v>
      </c>
      <c r="W13" s="26">
        <f t="shared" si="9"/>
        <v>1</v>
      </c>
      <c r="X13" s="26">
        <f t="shared" si="10"/>
        <v>751</v>
      </c>
      <c r="Y13" s="42">
        <f t="shared" si="11"/>
        <v>6.3885900228304468E-2</v>
      </c>
      <c r="Z13" s="28">
        <f t="shared" si="12"/>
        <v>0.62449156322985278</v>
      </c>
      <c r="AA13" s="26">
        <f t="shared" si="13"/>
        <v>0</v>
      </c>
      <c r="AB13" s="26">
        <f t="shared" ref="AB13:AB44" si="19">IF(OR(ABS(Z13-(1/$AB$1))&lt;$U$2,ABS(Z13-(2/$AB$1))&lt;$U$2,ABS(Z13-(3/$AB$1))&lt;$U$2,ABS(Z13-(1/$AB$2))&lt;$U$2,ABS(Z13-(1/$AB$7))&lt;$U$2,ABS(Z13-(1/$AB$8))&lt;$U$2),1,0)</f>
        <v>0</v>
      </c>
      <c r="AC13" s="26">
        <f t="shared" si="14"/>
        <v>0</v>
      </c>
      <c r="AD13" s="32">
        <f t="shared" si="15"/>
        <v>0</v>
      </c>
      <c r="AE13" s="31">
        <f t="shared" ref="AE13:AE44" si="20">ABS(U13-U11)/U13</f>
        <v>0.50299401197604787</v>
      </c>
      <c r="AF13" s="26">
        <f t="shared" ref="AF13:AF44" si="21">IF(OR(AE13&lt;=$U$1,ABS(AE13-1)&lt;=$U$1,ABS(AE13-0.5)&lt;=$U$1),1,0)</f>
        <v>1</v>
      </c>
      <c r="AG13" s="26">
        <f>SUM(U11:U13)</f>
        <v>1000</v>
      </c>
      <c r="AH13" s="42">
        <f t="shared" ref="AH13:AH44" si="22">ABS($AG$10-AG13)/$AG$10</f>
        <v>0.16958196402699749</v>
      </c>
      <c r="AI13" s="28">
        <f t="shared" ref="AI13:AI44" si="23">U13/$AG$10</f>
        <v>0.41603943602247428</v>
      </c>
      <c r="AJ13" s="26">
        <f t="shared" ref="AJ13:AJ44" si="24">IF(OR(ABS(AI13-(1/$AA$1))&lt;$U$2,ABS(AI13-(1/$AA$2))&lt;$U$2,ABS(AI13-(1/$AA$7))&lt;$U$2,ABS(AI13-(1/$AA$8))&lt;$U$2),1,0)</f>
        <v>0</v>
      </c>
      <c r="AK13" s="26">
        <f t="shared" ref="AK13:AK44" si="25">IF(OR(ABS(AI13-(1/$AB$1))&lt;$U$2,ABS(AI13-(1/$AB$2))&lt;$U$2,ABS(AI13-(1/$AB$7))&lt;$U$2,ABS(AI13-(1/$AB$8))&lt;$U$2),1,0)</f>
        <v>0</v>
      </c>
      <c r="AL13" s="26">
        <f t="shared" ref="AL13:AL44" si="26">IF(OR(ABS(AI13-(1/$AC$1))&lt;$U$2,ABS(AI13-(1/$AC$2))&lt;$U$2,ABS(AI13-(1/$AC$7))&lt;$U$2,ABS(AI13-(1/$AC$8))&lt;$U$2),1,0)</f>
        <v>0</v>
      </c>
      <c r="AM13" s="32">
        <f t="shared" ref="AM13:AM44" si="27">IF(OR(ABS(AI13-(1/$AD$1))&lt;$U$2,ABS(AI13-(1/$AD$2))&lt;$U$2,ABS(AI13-(1/$AD$7))&lt;$U$2,ABS(AI13-(1/$AD$8))&lt;$U$2),1,0)</f>
        <v>0</v>
      </c>
      <c r="AN13" s="31" t="s">
        <v>4</v>
      </c>
      <c r="AO13" s="26">
        <f>IF(AN13&lt;=$U$1,1,0)</f>
        <v>0</v>
      </c>
      <c r="AP13" s="26"/>
      <c r="AQ13" s="42"/>
      <c r="AR13" s="28">
        <f t="shared" si="7"/>
        <v>0.31233157704219122</v>
      </c>
      <c r="AS13" s="26">
        <f t="shared" ref="AS13:AS44" si="28">IF(OR(ABS(AR13-(1/$AA$1))&lt;$U$2,ABS(AR13-(1/$AA$2))&lt;$U$2,ABS(AR13-(1/$AA$7))&lt;$U$2,ABS(AR13-(1/$AA$8))&lt;$U$2),1,0)</f>
        <v>0</v>
      </c>
      <c r="AT13" s="26">
        <f t="shared" ref="AT13:AT44" si="29">IF(OR(ABS(AR13-(1/$AB$1))&lt;$U$2,ABS(AR13-(1/$AB$2))&lt;$U$2,ABS(AR13-(1/$AB$7))&lt;$U$2,ABS(AR13-(1/$AB$8))&lt;$U$2),1,0)</f>
        <v>0</v>
      </c>
      <c r="AU13" s="26">
        <f t="shared" ref="AU13:AU44" si="30">IF(OR(ABS(AR13-(1/$AC$1))&lt;$U$2,ABS(AR13-(1/$AC$2))&lt;$U$2,ABS(AR13-(1/$AC$7))&lt;$U$2,ABS(AR13-(1/$AC$8))&lt;$U$2),1,0)</f>
        <v>0</v>
      </c>
      <c r="AV13" s="32">
        <f t="shared" ref="AV13:AV44" si="31">IF(OR(ABS(AR13-(1/$AD$1))&lt;$U$2,ABS(AR13-(1/$AD$2))&lt;$U$2,ABS(AR13-(1/$AD$7))&lt;$U$2,ABS(AR13-(1/$AD$8))&lt;$U$2),1,0)</f>
        <v>0</v>
      </c>
      <c r="AW13" s="31" t="s">
        <v>4</v>
      </c>
      <c r="AX13" s="26">
        <f t="shared" si="16"/>
        <v>0</v>
      </c>
      <c r="AY13" s="26"/>
      <c r="AZ13" s="42"/>
      <c r="BA13" s="28">
        <f t="shared" ref="BA13:BA76" si="32">U13/$AY$10</f>
        <v>0.25028236316246744</v>
      </c>
      <c r="BB13" s="26">
        <f t="shared" si="8"/>
        <v>1</v>
      </c>
      <c r="BC13" s="26">
        <f t="shared" ref="BC13:BC44" si="33">IF(OR(ABS(BA13-(1/$AB$1))&lt;$U$2,ABS(BA13-(1/$AB$2))&lt;$U$2,ABS(BA13-(1/$AB$7))&lt;$U$2,ABS(BA13-(1/$AB$8))&lt;$U$2),1,0)</f>
        <v>0</v>
      </c>
      <c r="BD13" s="26">
        <f t="shared" ref="BD13:BD44" si="34">IF(OR(ABS(BA13-(1/$AC$1))&lt;$U$2,ABS(BA13-(1/$AC$2))&lt;$U$2,ABS(BA13-(1/$AC$7))&lt;$U$2,ABS(BA13-(1/$AC$8))&lt;$U$2),1,0)</f>
        <v>0</v>
      </c>
      <c r="BE13" s="32">
        <f t="shared" ref="BE13:BE44" si="35">IF(OR(ABS(BA13-(1/$AD$1))&lt;$U$2,ABS(BA13-(1/$AD$2))&lt;$U$2,ABS(BA13-(1/$AD$7))&lt;$U$2,ABS(BA13-(1/$AD$8))&lt;$U$2),1,0)</f>
        <v>0</v>
      </c>
      <c r="BF13" s="29" t="s">
        <v>4</v>
      </c>
      <c r="BG13" s="26">
        <f t="shared" si="17"/>
        <v>0</v>
      </c>
      <c r="BH13" s="26"/>
      <c r="BI13" s="42"/>
      <c r="BJ13" s="28">
        <f>AD13/$AY$10</f>
        <v>0</v>
      </c>
      <c r="BK13" s="26">
        <f t="shared" ref="BK13:BK44" si="36">IF(OR(ABS(BJ13-(1/$AA$1))&lt;$U$2,ABS(BJ13-(1/$AA$2))&lt;$U$2,ABS(BJ13-(1/$AA$7))&lt;$U$2,ABS(BJ13-(1/$AA$8))&lt;$U$2),1,0)</f>
        <v>0</v>
      </c>
      <c r="BL13" s="26">
        <f t="shared" ref="BL13:BL44" si="37">IF(OR(ABS(BJ13-(1/$AB$1))&lt;$U$2,ABS(BJ13-(1/$AB$2))&lt;$U$2,ABS(BJ13-(1/$AB$7))&lt;$U$2,ABS(BJ13-(1/$AB$8))&lt;$U$2),1,0)</f>
        <v>0</v>
      </c>
      <c r="BM13" s="26">
        <f t="shared" ref="BM13:BM44" si="38">IF(OR(ABS(BJ13-(1/$AC$1))&lt;$U$2,ABS(BJ13-(1/$AC$2))&lt;$U$2,ABS(BJ13-(1/$AC$7))&lt;$U$2,ABS(BJ13-(1/$AC$8))&lt;$U$2),1,0)</f>
        <v>0</v>
      </c>
      <c r="BN13" s="32">
        <f t="shared" ref="BN13:BN44" si="39">IF(OR(ABS(BJ13-(1/$AD$1))&lt;$U$2,ABS(BJ13-(1/$AD$2))&lt;$U$2,ABS(BJ13-(1/$AD$7))&lt;$U$2,ABS(BJ13-(1/$AD$8))&lt;$U$2),1,0)</f>
        <v>0</v>
      </c>
    </row>
    <row r="14" spans="1:66" x14ac:dyDescent="0.3">
      <c r="U14" s="1">
        <v>499</v>
      </c>
      <c r="V14" s="31">
        <f t="shared" si="18"/>
        <v>4.0080160320641279E-3</v>
      </c>
      <c r="W14" s="26">
        <f t="shared" si="9"/>
        <v>1</v>
      </c>
      <c r="X14" s="26">
        <f t="shared" si="10"/>
        <v>1000</v>
      </c>
      <c r="Y14" s="42">
        <f t="shared" si="11"/>
        <v>0.24649014616737089</v>
      </c>
      <c r="Z14" s="28">
        <f t="shared" si="12"/>
        <v>0.62199858293751809</v>
      </c>
      <c r="AA14" s="26">
        <f t="shared" si="13"/>
        <v>0</v>
      </c>
      <c r="AB14" s="26">
        <f t="shared" si="19"/>
        <v>0</v>
      </c>
      <c r="AC14" s="26">
        <f t="shared" si="14"/>
        <v>0</v>
      </c>
      <c r="AD14" s="32">
        <f t="shared" si="15"/>
        <v>0</v>
      </c>
      <c r="AE14" s="31">
        <f t="shared" si="20"/>
        <v>0.49899799599198397</v>
      </c>
      <c r="AF14" s="26">
        <f t="shared" si="21"/>
        <v>1</v>
      </c>
      <c r="AG14" s="26">
        <f t="shared" ref="AG14:AG77" si="40">SUM(U12:U14)</f>
        <v>1250</v>
      </c>
      <c r="AH14" s="42">
        <f t="shared" si="22"/>
        <v>3.8022544966253152E-2</v>
      </c>
      <c r="AI14" s="28">
        <f t="shared" si="23"/>
        <v>0.41437859995052828</v>
      </c>
      <c r="AJ14" s="26">
        <f t="shared" si="24"/>
        <v>0</v>
      </c>
      <c r="AK14" s="26">
        <f t="shared" si="25"/>
        <v>0</v>
      </c>
      <c r="AL14" s="26">
        <f t="shared" si="26"/>
        <v>0</v>
      </c>
      <c r="AM14" s="32">
        <f t="shared" si="27"/>
        <v>0</v>
      </c>
      <c r="AN14" s="31">
        <f>ABS(U14-U11)/U14</f>
        <v>0.50100200400801598</v>
      </c>
      <c r="AO14" s="26">
        <f t="shared" ref="AO14:AO45" si="41">IF(OR(AN14&lt;=$U$1,ABS(AN14-0.5)&lt;=$U$1,ABS(AN14-1)&lt;=$U$1),1,0)</f>
        <v>1</v>
      </c>
      <c r="AP14" s="26">
        <f>SUM(U11:U14)</f>
        <v>1499</v>
      </c>
      <c r="AQ14" s="42">
        <f t="shared" ref="AQ14:AQ45" si="42">ABS($AP$10-AP14)/$AP$10</f>
        <v>6.5498934159192335E-2</v>
      </c>
      <c r="AR14" s="28">
        <f t="shared" si="7"/>
        <v>0.31108474439930822</v>
      </c>
      <c r="AS14" s="26">
        <f t="shared" si="28"/>
        <v>0</v>
      </c>
      <c r="AT14" s="26">
        <f t="shared" si="29"/>
        <v>0</v>
      </c>
      <c r="AU14" s="26">
        <f t="shared" si="30"/>
        <v>0</v>
      </c>
      <c r="AV14" s="32">
        <f t="shared" si="31"/>
        <v>0</v>
      </c>
      <c r="AW14" s="31" t="s">
        <v>4</v>
      </c>
      <c r="AX14" s="26">
        <f t="shared" si="16"/>
        <v>0</v>
      </c>
      <c r="AY14" s="26"/>
      <c r="AZ14" s="42"/>
      <c r="BA14" s="28">
        <f t="shared" si="32"/>
        <v>0.24928323197219809</v>
      </c>
      <c r="BB14" s="26">
        <f t="shared" si="8"/>
        <v>1</v>
      </c>
      <c r="BC14" s="26">
        <f t="shared" si="33"/>
        <v>0</v>
      </c>
      <c r="BD14" s="26">
        <f t="shared" si="34"/>
        <v>0</v>
      </c>
      <c r="BE14" s="32">
        <f t="shared" si="35"/>
        <v>0</v>
      </c>
      <c r="BF14" s="29" t="s">
        <v>4</v>
      </c>
      <c r="BG14" s="26">
        <f t="shared" si="17"/>
        <v>0</v>
      </c>
      <c r="BH14" s="26"/>
      <c r="BI14" s="42"/>
      <c r="BJ14" s="28">
        <f>AD14/$AY$10</f>
        <v>0</v>
      </c>
      <c r="BK14" s="26">
        <f t="shared" si="36"/>
        <v>0</v>
      </c>
      <c r="BL14" s="26">
        <f t="shared" si="37"/>
        <v>0</v>
      </c>
      <c r="BM14" s="26">
        <f t="shared" si="38"/>
        <v>0</v>
      </c>
      <c r="BN14" s="32">
        <f t="shared" si="39"/>
        <v>0</v>
      </c>
    </row>
    <row r="15" spans="1:66" x14ac:dyDescent="0.3">
      <c r="U15">
        <v>500</v>
      </c>
      <c r="V15" s="31">
        <f t="shared" si="18"/>
        <v>2E-3</v>
      </c>
      <c r="W15" s="26">
        <f t="shared" si="9"/>
        <v>1</v>
      </c>
      <c r="X15" s="26">
        <f t="shared" si="10"/>
        <v>999</v>
      </c>
      <c r="Y15" s="42">
        <f t="shared" si="11"/>
        <v>0.24524365602120352</v>
      </c>
      <c r="Z15" s="28">
        <f t="shared" si="12"/>
        <v>0.62324507308368549</v>
      </c>
      <c r="AA15" s="26">
        <f t="shared" si="13"/>
        <v>0</v>
      </c>
      <c r="AB15" s="26">
        <f t="shared" si="19"/>
        <v>0</v>
      </c>
      <c r="AC15" s="26">
        <f t="shared" si="14"/>
        <v>0</v>
      </c>
      <c r="AD15" s="32">
        <f t="shared" si="15"/>
        <v>0</v>
      </c>
      <c r="AE15" s="31">
        <f t="shared" si="20"/>
        <v>2E-3</v>
      </c>
      <c r="AF15" s="26">
        <f t="shared" si="21"/>
        <v>1</v>
      </c>
      <c r="AG15" s="26">
        <f t="shared" si="40"/>
        <v>1500</v>
      </c>
      <c r="AH15" s="42">
        <f t="shared" si="22"/>
        <v>0.24562705395950379</v>
      </c>
      <c r="AI15" s="28">
        <f t="shared" si="23"/>
        <v>0.41520901798650128</v>
      </c>
      <c r="AJ15" s="26">
        <f t="shared" si="24"/>
        <v>0</v>
      </c>
      <c r="AK15" s="26">
        <f t="shared" si="25"/>
        <v>0</v>
      </c>
      <c r="AL15" s="26">
        <f t="shared" si="26"/>
        <v>0</v>
      </c>
      <c r="AM15" s="32">
        <f t="shared" si="27"/>
        <v>0</v>
      </c>
      <c r="AN15" s="31">
        <f t="shared" ref="AN15:AN78" si="43">ABS(U15-U12)/U15</f>
        <v>0.5</v>
      </c>
      <c r="AO15" s="26">
        <f t="shared" si="41"/>
        <v>1</v>
      </c>
      <c r="AP15" s="26">
        <f t="shared" ref="AP15:AP78" si="44">SUM(U12:U15)</f>
        <v>1750</v>
      </c>
      <c r="AQ15" s="42">
        <f t="shared" si="42"/>
        <v>9.0978562522624012E-2</v>
      </c>
      <c r="AR15" s="28">
        <f t="shared" si="7"/>
        <v>0.31170816072074969</v>
      </c>
      <c r="AS15" s="26">
        <f t="shared" si="28"/>
        <v>0</v>
      </c>
      <c r="AT15" s="26">
        <f t="shared" si="29"/>
        <v>0</v>
      </c>
      <c r="AU15" s="26">
        <f t="shared" si="30"/>
        <v>0</v>
      </c>
      <c r="AV15" s="32">
        <f t="shared" si="31"/>
        <v>0</v>
      </c>
      <c r="AW15" s="31">
        <f>ABS(U15-U11)/U15</f>
        <v>0.502</v>
      </c>
      <c r="AX15" s="26">
        <f t="shared" si="16"/>
        <v>0</v>
      </c>
      <c r="AY15" s="26">
        <f>SUM(U11:U15)</f>
        <v>1999</v>
      </c>
      <c r="AZ15" s="42">
        <f t="shared" ref="AZ15:AZ46" si="45">ABS($AY$10-AY15)/$AY$10</f>
        <v>1.3683753258035996E-3</v>
      </c>
      <c r="BA15" s="28">
        <f t="shared" si="32"/>
        <v>0.24978279756733276</v>
      </c>
      <c r="BB15" s="26">
        <f t="shared" si="8"/>
        <v>1</v>
      </c>
      <c r="BC15" s="26">
        <f t="shared" si="33"/>
        <v>0</v>
      </c>
      <c r="BD15" s="26">
        <f t="shared" si="34"/>
        <v>0</v>
      </c>
      <c r="BE15" s="32">
        <f t="shared" si="35"/>
        <v>0</v>
      </c>
      <c r="BF15" s="29" t="s">
        <v>4</v>
      </c>
      <c r="BG15" s="26">
        <f t="shared" si="17"/>
        <v>0</v>
      </c>
      <c r="BH15" s="26">
        <f>SUM(AD11:AD15)</f>
        <v>0</v>
      </c>
      <c r="BI15" s="42"/>
      <c r="BJ15" s="28">
        <f>AD15/$BH$10</f>
        <v>0</v>
      </c>
      <c r="BK15" s="26">
        <f t="shared" si="36"/>
        <v>0</v>
      </c>
      <c r="BL15" s="26">
        <f t="shared" si="37"/>
        <v>0</v>
      </c>
      <c r="BM15" s="26">
        <f t="shared" si="38"/>
        <v>0</v>
      </c>
      <c r="BN15" s="32">
        <f t="shared" si="39"/>
        <v>0</v>
      </c>
    </row>
    <row r="16" spans="1:66" x14ac:dyDescent="0.3">
      <c r="U16">
        <v>249</v>
      </c>
      <c r="V16" s="31">
        <f t="shared" si="18"/>
        <v>1.0080321285140563</v>
      </c>
      <c r="W16" s="26">
        <f t="shared" si="9"/>
        <v>1</v>
      </c>
      <c r="X16" s="26">
        <f t="shared" si="10"/>
        <v>749</v>
      </c>
      <c r="Y16" s="42">
        <f t="shared" si="11"/>
        <v>6.6378880520639214E-2</v>
      </c>
      <c r="Z16" s="28">
        <f t="shared" si="12"/>
        <v>0.31037604639567534</v>
      </c>
      <c r="AA16" s="26">
        <f t="shared" si="13"/>
        <v>0</v>
      </c>
      <c r="AB16" s="26">
        <f t="shared" si="19"/>
        <v>0</v>
      </c>
      <c r="AC16" s="26">
        <f t="shared" si="14"/>
        <v>0</v>
      </c>
      <c r="AD16" s="32">
        <f t="shared" si="15"/>
        <v>0</v>
      </c>
      <c r="AE16" s="31">
        <f t="shared" si="20"/>
        <v>1.0040160642570282</v>
      </c>
      <c r="AF16" s="26">
        <f t="shared" si="21"/>
        <v>1</v>
      </c>
      <c r="AG16" s="26">
        <f t="shared" si="40"/>
        <v>1248</v>
      </c>
      <c r="AH16" s="42">
        <f t="shared" si="22"/>
        <v>3.6361708894307149E-2</v>
      </c>
      <c r="AI16" s="28">
        <f t="shared" si="23"/>
        <v>0.20677409095727764</v>
      </c>
      <c r="AJ16" s="26">
        <f t="shared" si="24"/>
        <v>0</v>
      </c>
      <c r="AK16" s="26">
        <f t="shared" si="25"/>
        <v>0</v>
      </c>
      <c r="AL16" s="26">
        <f t="shared" si="26"/>
        <v>1</v>
      </c>
      <c r="AM16" s="32">
        <f t="shared" si="27"/>
        <v>0</v>
      </c>
      <c r="AN16" s="31">
        <f t="shared" si="43"/>
        <v>1.0120481927710843</v>
      </c>
      <c r="AO16" s="26">
        <f t="shared" si="41"/>
        <v>1</v>
      </c>
      <c r="AP16" s="26">
        <f t="shared" si="44"/>
        <v>1749</v>
      </c>
      <c r="AQ16" s="42">
        <f t="shared" si="42"/>
        <v>9.0355146201182526E-2</v>
      </c>
      <c r="AR16" s="28">
        <f t="shared" si="7"/>
        <v>0.15523066403893335</v>
      </c>
      <c r="AS16" s="26">
        <f t="shared" si="28"/>
        <v>0</v>
      </c>
      <c r="AT16" s="26">
        <f t="shared" si="29"/>
        <v>0</v>
      </c>
      <c r="AU16" s="26">
        <f t="shared" si="30"/>
        <v>0</v>
      </c>
      <c r="AV16" s="32">
        <f t="shared" si="31"/>
        <v>0</v>
      </c>
      <c r="AW16" s="31">
        <f t="shared" ref="AW16:AW79" si="46">ABS(U16-U12)/U16</f>
        <v>4.0160642570281121E-3</v>
      </c>
      <c r="AX16" s="26">
        <f t="shared" si="16"/>
        <v>1</v>
      </c>
      <c r="AY16" s="26">
        <f t="shared" ref="AY16:AY79" si="47">SUM(U12:U16)</f>
        <v>1999</v>
      </c>
      <c r="AZ16" s="42">
        <f t="shared" si="45"/>
        <v>1.3683753258035996E-3</v>
      </c>
      <c r="BA16" s="28">
        <f t="shared" si="32"/>
        <v>0.12439183318853171</v>
      </c>
      <c r="BB16" s="26">
        <f t="shared" si="8"/>
        <v>1</v>
      </c>
      <c r="BC16" s="26">
        <f t="shared" si="33"/>
        <v>0</v>
      </c>
      <c r="BD16" s="26">
        <f t="shared" si="34"/>
        <v>0</v>
      </c>
      <c r="BE16" s="32">
        <f t="shared" si="35"/>
        <v>0</v>
      </c>
      <c r="BF16" s="29">
        <f>ABS(U16-U11)/U16</f>
        <v>0</v>
      </c>
      <c r="BG16" s="26">
        <f t="shared" si="17"/>
        <v>1</v>
      </c>
      <c r="BH16" s="26">
        <f>SUM(U11:U16)</f>
        <v>2248</v>
      </c>
      <c r="BI16" s="42">
        <f>ABS($BH$10-BH16)/$BH$10</f>
        <v>5.3005604600901042E-2</v>
      </c>
      <c r="BJ16" s="28">
        <f>U16/$BH$10</f>
        <v>0.10489395215941977</v>
      </c>
      <c r="BK16" s="26">
        <f t="shared" si="36"/>
        <v>0</v>
      </c>
      <c r="BL16" s="26">
        <f t="shared" si="37"/>
        <v>0</v>
      </c>
      <c r="BM16" s="26">
        <f t="shared" si="38"/>
        <v>1</v>
      </c>
      <c r="BN16" s="32">
        <f t="shared" si="39"/>
        <v>0</v>
      </c>
    </row>
    <row r="17" spans="21:66" x14ac:dyDescent="0.3">
      <c r="U17">
        <v>250</v>
      </c>
      <c r="V17" s="31">
        <f t="shared" si="18"/>
        <v>4.0000000000000001E-3</v>
      </c>
      <c r="W17" s="26">
        <f t="shared" si="9"/>
        <v>1</v>
      </c>
      <c r="X17" s="26">
        <f t="shared" si="10"/>
        <v>499</v>
      </c>
      <c r="Y17" s="42">
        <f t="shared" si="11"/>
        <v>0.37800141706248191</v>
      </c>
      <c r="Z17" s="28">
        <f t="shared" si="12"/>
        <v>0.31162253654184274</v>
      </c>
      <c r="AA17" s="26">
        <f t="shared" si="13"/>
        <v>0</v>
      </c>
      <c r="AB17" s="26">
        <f t="shared" si="19"/>
        <v>0</v>
      </c>
      <c r="AC17" s="26">
        <f t="shared" si="14"/>
        <v>0</v>
      </c>
      <c r="AD17" s="32">
        <f t="shared" si="15"/>
        <v>0</v>
      </c>
      <c r="AE17" s="31">
        <f t="shared" si="20"/>
        <v>1</v>
      </c>
      <c r="AF17" s="26">
        <f t="shared" si="21"/>
        <v>1</v>
      </c>
      <c r="AG17" s="26">
        <f t="shared" si="40"/>
        <v>999</v>
      </c>
      <c r="AH17" s="42">
        <f t="shared" si="22"/>
        <v>0.17041238206297049</v>
      </c>
      <c r="AI17" s="28">
        <f t="shared" si="23"/>
        <v>0.20760450899325064</v>
      </c>
      <c r="AJ17" s="26">
        <f t="shared" si="24"/>
        <v>0</v>
      </c>
      <c r="AK17" s="26">
        <f t="shared" si="25"/>
        <v>0</v>
      </c>
      <c r="AL17" s="26">
        <f t="shared" si="26"/>
        <v>1</v>
      </c>
      <c r="AM17" s="32">
        <f t="shared" si="27"/>
        <v>0</v>
      </c>
      <c r="AN17" s="31">
        <f t="shared" si="43"/>
        <v>0.996</v>
      </c>
      <c r="AO17" s="26">
        <f t="shared" si="41"/>
        <v>1</v>
      </c>
      <c r="AP17" s="26">
        <f t="shared" si="44"/>
        <v>1498</v>
      </c>
      <c r="AQ17" s="42">
        <f t="shared" si="42"/>
        <v>6.6122350480633835E-2</v>
      </c>
      <c r="AR17" s="28">
        <f t="shared" si="7"/>
        <v>0.15585408036037485</v>
      </c>
      <c r="AS17" s="26">
        <f t="shared" si="28"/>
        <v>0</v>
      </c>
      <c r="AT17" s="26">
        <f t="shared" si="29"/>
        <v>0</v>
      </c>
      <c r="AU17" s="26">
        <f t="shared" si="30"/>
        <v>0</v>
      </c>
      <c r="AV17" s="32">
        <f t="shared" si="31"/>
        <v>0</v>
      </c>
      <c r="AW17" s="31">
        <f t="shared" si="46"/>
        <v>1.004</v>
      </c>
      <c r="AX17" s="26">
        <f t="shared" si="16"/>
        <v>0</v>
      </c>
      <c r="AY17" s="26">
        <f t="shared" si="47"/>
        <v>1999</v>
      </c>
      <c r="AZ17" s="42">
        <f t="shared" si="45"/>
        <v>1.3683753258035996E-3</v>
      </c>
      <c r="BA17" s="28">
        <f t="shared" si="32"/>
        <v>0.12489139878366638</v>
      </c>
      <c r="BB17" s="26">
        <f t="shared" si="8"/>
        <v>1</v>
      </c>
      <c r="BC17" s="26">
        <f t="shared" si="33"/>
        <v>0</v>
      </c>
      <c r="BD17" s="26">
        <f t="shared" si="34"/>
        <v>0</v>
      </c>
      <c r="BE17" s="32">
        <f t="shared" si="35"/>
        <v>0</v>
      </c>
      <c r="BF17" s="29">
        <f t="shared" ref="BF17:BF80" si="48">ABS(U17-U12)/U17</f>
        <v>0</v>
      </c>
      <c r="BG17" s="26">
        <f t="shared" si="17"/>
        <v>1</v>
      </c>
      <c r="BH17" s="26">
        <f t="shared" ref="BH17:BH80" si="49">SUM(U12:U17)</f>
        <v>2249</v>
      </c>
      <c r="BI17" s="42">
        <f t="shared" ref="BI17:BI80" si="50">ABS($BH$10-BH17)/$BH$10</f>
        <v>5.2584343748855185E-2</v>
      </c>
      <c r="BJ17" s="28">
        <f t="shared" ref="BJ17:BJ80" si="51">U17/$BH$10</f>
        <v>0.10531521301146562</v>
      </c>
      <c r="BK17" s="26">
        <f t="shared" si="36"/>
        <v>0</v>
      </c>
      <c r="BL17" s="26">
        <f t="shared" si="37"/>
        <v>0</v>
      </c>
      <c r="BM17" s="26">
        <f t="shared" si="38"/>
        <v>1</v>
      </c>
      <c r="BN17" s="32">
        <f t="shared" si="39"/>
        <v>0</v>
      </c>
    </row>
    <row r="18" spans="21:66" x14ac:dyDescent="0.3">
      <c r="U18">
        <v>501</v>
      </c>
      <c r="V18" s="31">
        <f t="shared" si="18"/>
        <v>0.50099800399201599</v>
      </c>
      <c r="W18" s="26">
        <f t="shared" si="9"/>
        <v>1</v>
      </c>
      <c r="X18" s="26">
        <f t="shared" si="10"/>
        <v>751</v>
      </c>
      <c r="Y18" s="42">
        <f t="shared" si="11"/>
        <v>6.3885900228304468E-2</v>
      </c>
      <c r="Z18" s="28">
        <f t="shared" si="12"/>
        <v>0.62449156322985278</v>
      </c>
      <c r="AA18" s="26">
        <f t="shared" si="13"/>
        <v>0</v>
      </c>
      <c r="AB18" s="26">
        <f t="shared" si="19"/>
        <v>0</v>
      </c>
      <c r="AC18" s="26">
        <f t="shared" si="14"/>
        <v>0</v>
      </c>
      <c r="AD18" s="32">
        <f t="shared" si="15"/>
        <v>0</v>
      </c>
      <c r="AE18" s="31">
        <f t="shared" si="20"/>
        <v>0.50299401197604787</v>
      </c>
      <c r="AF18" s="26">
        <f t="shared" si="21"/>
        <v>1</v>
      </c>
      <c r="AG18" s="26">
        <f t="shared" si="40"/>
        <v>1000</v>
      </c>
      <c r="AH18" s="42">
        <f t="shared" si="22"/>
        <v>0.16958196402699749</v>
      </c>
      <c r="AI18" s="28">
        <f t="shared" si="23"/>
        <v>0.41603943602247428</v>
      </c>
      <c r="AJ18" s="26">
        <f t="shared" si="24"/>
        <v>0</v>
      </c>
      <c r="AK18" s="26">
        <f t="shared" si="25"/>
        <v>0</v>
      </c>
      <c r="AL18" s="26">
        <f t="shared" si="26"/>
        <v>0</v>
      </c>
      <c r="AM18" s="32">
        <f t="shared" si="27"/>
        <v>0</v>
      </c>
      <c r="AN18" s="31">
        <f t="shared" si="43"/>
        <v>1.996007984031936E-3</v>
      </c>
      <c r="AO18" s="26">
        <f t="shared" si="41"/>
        <v>1</v>
      </c>
      <c r="AP18" s="26">
        <f t="shared" si="44"/>
        <v>1500</v>
      </c>
      <c r="AQ18" s="42">
        <f t="shared" si="42"/>
        <v>6.4875517837750835E-2</v>
      </c>
      <c r="AR18" s="28">
        <f t="shared" si="7"/>
        <v>0.31233157704219122</v>
      </c>
      <c r="AS18" s="26">
        <f t="shared" si="28"/>
        <v>0</v>
      </c>
      <c r="AT18" s="26">
        <f t="shared" si="29"/>
        <v>0</v>
      </c>
      <c r="AU18" s="26">
        <f t="shared" si="30"/>
        <v>0</v>
      </c>
      <c r="AV18" s="32">
        <f t="shared" si="31"/>
        <v>0</v>
      </c>
      <c r="AW18" s="31">
        <f t="shared" si="46"/>
        <v>3.9920159680638719E-3</v>
      </c>
      <c r="AX18" s="26">
        <f t="shared" si="16"/>
        <v>1</v>
      </c>
      <c r="AY18" s="26">
        <f t="shared" si="47"/>
        <v>1999</v>
      </c>
      <c r="AZ18" s="42">
        <f t="shared" si="45"/>
        <v>1.3683753258035996E-3</v>
      </c>
      <c r="BA18" s="28">
        <f t="shared" si="32"/>
        <v>0.25028236316246744</v>
      </c>
      <c r="BB18" s="26">
        <f t="shared" si="8"/>
        <v>1</v>
      </c>
      <c r="BC18" s="26">
        <f t="shared" si="33"/>
        <v>0</v>
      </c>
      <c r="BD18" s="26">
        <f t="shared" si="34"/>
        <v>0</v>
      </c>
      <c r="BE18" s="32">
        <f t="shared" si="35"/>
        <v>0</v>
      </c>
      <c r="BF18" s="29">
        <f t="shared" si="48"/>
        <v>0</v>
      </c>
      <c r="BG18" s="26">
        <f t="shared" si="17"/>
        <v>1</v>
      </c>
      <c r="BH18" s="26">
        <f t="shared" si="49"/>
        <v>2500</v>
      </c>
      <c r="BI18" s="42">
        <f t="shared" si="50"/>
        <v>5.3152130114656311E-2</v>
      </c>
      <c r="BJ18" s="28">
        <f t="shared" si="51"/>
        <v>0.21105168687497713</v>
      </c>
      <c r="BK18" s="26">
        <f t="shared" si="36"/>
        <v>0</v>
      </c>
      <c r="BL18" s="26">
        <f t="shared" si="37"/>
        <v>0</v>
      </c>
      <c r="BM18" s="26">
        <f t="shared" si="38"/>
        <v>0</v>
      </c>
      <c r="BN18" s="32">
        <f t="shared" si="39"/>
        <v>0</v>
      </c>
    </row>
    <row r="19" spans="21:66" x14ac:dyDescent="0.3">
      <c r="U19" s="1">
        <v>499</v>
      </c>
      <c r="V19" s="31">
        <f t="shared" si="18"/>
        <v>4.0080160320641279E-3</v>
      </c>
      <c r="W19" s="26">
        <f t="shared" si="9"/>
        <v>1</v>
      </c>
      <c r="X19" s="26">
        <f t="shared" si="10"/>
        <v>1000</v>
      </c>
      <c r="Y19" s="42">
        <f t="shared" si="11"/>
        <v>0.24649014616737089</v>
      </c>
      <c r="Z19" s="28">
        <f t="shared" si="12"/>
        <v>0.62199858293751809</v>
      </c>
      <c r="AA19" s="26">
        <f t="shared" si="13"/>
        <v>0</v>
      </c>
      <c r="AB19" s="26">
        <f t="shared" si="19"/>
        <v>0</v>
      </c>
      <c r="AC19" s="26">
        <f t="shared" si="14"/>
        <v>0</v>
      </c>
      <c r="AD19" s="32">
        <f t="shared" si="15"/>
        <v>0</v>
      </c>
      <c r="AE19" s="31">
        <f t="shared" si="20"/>
        <v>0.49899799599198397</v>
      </c>
      <c r="AF19" s="26">
        <f t="shared" si="21"/>
        <v>1</v>
      </c>
      <c r="AG19" s="26">
        <f t="shared" si="40"/>
        <v>1250</v>
      </c>
      <c r="AH19" s="42">
        <f t="shared" si="22"/>
        <v>3.8022544966253152E-2</v>
      </c>
      <c r="AI19" s="28">
        <f t="shared" si="23"/>
        <v>0.41437859995052828</v>
      </c>
      <c r="AJ19" s="26">
        <f t="shared" si="24"/>
        <v>0</v>
      </c>
      <c r="AK19" s="26">
        <f t="shared" si="25"/>
        <v>0</v>
      </c>
      <c r="AL19" s="26">
        <f t="shared" si="26"/>
        <v>0</v>
      </c>
      <c r="AM19" s="32">
        <f t="shared" si="27"/>
        <v>0</v>
      </c>
      <c r="AN19" s="31">
        <f t="shared" si="43"/>
        <v>0.50100200400801598</v>
      </c>
      <c r="AO19" s="26">
        <f t="shared" si="41"/>
        <v>1</v>
      </c>
      <c r="AP19" s="26">
        <f t="shared" si="44"/>
        <v>1499</v>
      </c>
      <c r="AQ19" s="42">
        <f t="shared" si="42"/>
        <v>6.5498934159192335E-2</v>
      </c>
      <c r="AR19" s="28">
        <f t="shared" si="7"/>
        <v>0.31108474439930822</v>
      </c>
      <c r="AS19" s="26">
        <f t="shared" si="28"/>
        <v>0</v>
      </c>
      <c r="AT19" s="26">
        <f t="shared" si="29"/>
        <v>0</v>
      </c>
      <c r="AU19" s="26">
        <f t="shared" si="30"/>
        <v>0</v>
      </c>
      <c r="AV19" s="32">
        <f t="shared" si="31"/>
        <v>0</v>
      </c>
      <c r="AW19" s="31">
        <f t="shared" si="46"/>
        <v>2.004008016032064E-3</v>
      </c>
      <c r="AX19" s="26">
        <f t="shared" si="16"/>
        <v>1</v>
      </c>
      <c r="AY19" s="26">
        <f t="shared" si="47"/>
        <v>1999</v>
      </c>
      <c r="AZ19" s="42">
        <f t="shared" si="45"/>
        <v>1.3683753258035996E-3</v>
      </c>
      <c r="BA19" s="28">
        <f t="shared" si="32"/>
        <v>0.24928323197219809</v>
      </c>
      <c r="BB19" s="26">
        <f t="shared" si="8"/>
        <v>1</v>
      </c>
      <c r="BC19" s="26">
        <f t="shared" si="33"/>
        <v>0</v>
      </c>
      <c r="BD19" s="26">
        <f t="shared" si="34"/>
        <v>0</v>
      </c>
      <c r="BE19" s="32">
        <f t="shared" si="35"/>
        <v>0</v>
      </c>
      <c r="BF19" s="29">
        <f t="shared" si="48"/>
        <v>0</v>
      </c>
      <c r="BG19" s="26">
        <f t="shared" si="17"/>
        <v>1</v>
      </c>
      <c r="BH19" s="26">
        <f t="shared" si="49"/>
        <v>2498</v>
      </c>
      <c r="BI19" s="42">
        <f t="shared" si="50"/>
        <v>5.2309608410564583E-2</v>
      </c>
      <c r="BJ19" s="28">
        <f t="shared" si="51"/>
        <v>0.21020916517088539</v>
      </c>
      <c r="BK19" s="26">
        <f t="shared" si="36"/>
        <v>0</v>
      </c>
      <c r="BL19" s="26">
        <f t="shared" si="37"/>
        <v>0</v>
      </c>
      <c r="BM19" s="26">
        <f t="shared" si="38"/>
        <v>0</v>
      </c>
      <c r="BN19" s="32">
        <f t="shared" si="39"/>
        <v>0</v>
      </c>
    </row>
    <row r="20" spans="21:66" x14ac:dyDescent="0.3">
      <c r="U20">
        <v>500</v>
      </c>
      <c r="V20" s="31">
        <f t="shared" si="18"/>
        <v>2E-3</v>
      </c>
      <c r="W20" s="26">
        <f t="shared" si="9"/>
        <v>1</v>
      </c>
      <c r="X20" s="26">
        <f t="shared" si="10"/>
        <v>999</v>
      </c>
      <c r="Y20" s="42">
        <f t="shared" si="11"/>
        <v>0.24524365602120352</v>
      </c>
      <c r="Z20" s="28">
        <f t="shared" si="12"/>
        <v>0.62324507308368549</v>
      </c>
      <c r="AA20" s="26">
        <f t="shared" si="13"/>
        <v>0</v>
      </c>
      <c r="AB20" s="26">
        <f t="shared" si="19"/>
        <v>0</v>
      </c>
      <c r="AC20" s="26">
        <f t="shared" si="14"/>
        <v>0</v>
      </c>
      <c r="AD20" s="32">
        <f t="shared" si="15"/>
        <v>0</v>
      </c>
      <c r="AE20" s="31">
        <f t="shared" si="20"/>
        <v>2E-3</v>
      </c>
      <c r="AF20" s="26">
        <f t="shared" si="21"/>
        <v>1</v>
      </c>
      <c r="AG20" s="26">
        <f t="shared" si="40"/>
        <v>1500</v>
      </c>
      <c r="AH20" s="42">
        <f t="shared" si="22"/>
        <v>0.24562705395950379</v>
      </c>
      <c r="AI20" s="28">
        <f t="shared" si="23"/>
        <v>0.41520901798650128</v>
      </c>
      <c r="AJ20" s="26">
        <f t="shared" si="24"/>
        <v>0</v>
      </c>
      <c r="AK20" s="26">
        <f t="shared" si="25"/>
        <v>0</v>
      </c>
      <c r="AL20" s="26">
        <f t="shared" si="26"/>
        <v>0</v>
      </c>
      <c r="AM20" s="32">
        <f t="shared" si="27"/>
        <v>0</v>
      </c>
      <c r="AN20" s="31">
        <f t="shared" si="43"/>
        <v>0.5</v>
      </c>
      <c r="AO20" s="26">
        <f t="shared" si="41"/>
        <v>1</v>
      </c>
      <c r="AP20" s="26">
        <f t="shared" si="44"/>
        <v>1750</v>
      </c>
      <c r="AQ20" s="42">
        <f t="shared" si="42"/>
        <v>9.0978562522624012E-2</v>
      </c>
      <c r="AR20" s="28">
        <f t="shared" si="7"/>
        <v>0.31170816072074969</v>
      </c>
      <c r="AS20" s="26">
        <f t="shared" si="28"/>
        <v>0</v>
      </c>
      <c r="AT20" s="26">
        <f t="shared" si="29"/>
        <v>0</v>
      </c>
      <c r="AU20" s="26">
        <f t="shared" si="30"/>
        <v>0</v>
      </c>
      <c r="AV20" s="32">
        <f t="shared" si="31"/>
        <v>0</v>
      </c>
      <c r="AW20" s="31">
        <f t="shared" si="46"/>
        <v>0.502</v>
      </c>
      <c r="AX20" s="26">
        <f t="shared" si="16"/>
        <v>0</v>
      </c>
      <c r="AY20" s="26">
        <f t="shared" si="47"/>
        <v>1999</v>
      </c>
      <c r="AZ20" s="42">
        <f t="shared" si="45"/>
        <v>1.3683753258035996E-3</v>
      </c>
      <c r="BA20" s="28">
        <f t="shared" si="32"/>
        <v>0.24978279756733276</v>
      </c>
      <c r="BB20" s="26">
        <f t="shared" si="8"/>
        <v>1</v>
      </c>
      <c r="BC20" s="26">
        <f t="shared" si="33"/>
        <v>0</v>
      </c>
      <c r="BD20" s="26">
        <f t="shared" si="34"/>
        <v>0</v>
      </c>
      <c r="BE20" s="32">
        <f t="shared" si="35"/>
        <v>0</v>
      </c>
      <c r="BF20" s="29">
        <f t="shared" si="48"/>
        <v>0</v>
      </c>
      <c r="BG20" s="26">
        <f t="shared" si="17"/>
        <v>1</v>
      </c>
      <c r="BH20" s="26">
        <f t="shared" si="49"/>
        <v>2499</v>
      </c>
      <c r="BI20" s="42">
        <f t="shared" si="50"/>
        <v>5.2730869262610447E-2</v>
      </c>
      <c r="BJ20" s="28">
        <f t="shared" si="51"/>
        <v>0.21063042602293125</v>
      </c>
      <c r="BK20" s="26">
        <f t="shared" si="36"/>
        <v>0</v>
      </c>
      <c r="BL20" s="26">
        <f t="shared" si="37"/>
        <v>0</v>
      </c>
      <c r="BM20" s="26">
        <f t="shared" si="38"/>
        <v>0</v>
      </c>
      <c r="BN20" s="32">
        <f t="shared" si="39"/>
        <v>0</v>
      </c>
    </row>
    <row r="21" spans="21:66" x14ac:dyDescent="0.3">
      <c r="U21">
        <v>249</v>
      </c>
      <c r="V21" s="31">
        <f t="shared" si="18"/>
        <v>1.0080321285140563</v>
      </c>
      <c r="W21" s="26">
        <f t="shared" si="9"/>
        <v>1</v>
      </c>
      <c r="X21" s="26">
        <f t="shared" si="10"/>
        <v>749</v>
      </c>
      <c r="Y21" s="42">
        <f t="shared" si="11"/>
        <v>6.6378880520639214E-2</v>
      </c>
      <c r="Z21" s="28">
        <f t="shared" si="12"/>
        <v>0.31037604639567534</v>
      </c>
      <c r="AA21" s="26">
        <f t="shared" si="13"/>
        <v>0</v>
      </c>
      <c r="AB21" s="26">
        <f t="shared" si="19"/>
        <v>0</v>
      </c>
      <c r="AC21" s="26">
        <f t="shared" si="14"/>
        <v>0</v>
      </c>
      <c r="AD21" s="32">
        <f t="shared" si="15"/>
        <v>0</v>
      </c>
      <c r="AE21" s="31">
        <f t="shared" si="20"/>
        <v>1.0040160642570282</v>
      </c>
      <c r="AF21" s="26">
        <f t="shared" si="21"/>
        <v>1</v>
      </c>
      <c r="AG21" s="26">
        <f t="shared" si="40"/>
        <v>1248</v>
      </c>
      <c r="AH21" s="42">
        <f t="shared" si="22"/>
        <v>3.6361708894307149E-2</v>
      </c>
      <c r="AI21" s="28">
        <f t="shared" si="23"/>
        <v>0.20677409095727764</v>
      </c>
      <c r="AJ21" s="26">
        <f t="shared" si="24"/>
        <v>0</v>
      </c>
      <c r="AK21" s="26">
        <f t="shared" si="25"/>
        <v>0</v>
      </c>
      <c r="AL21" s="26">
        <f t="shared" si="26"/>
        <v>1</v>
      </c>
      <c r="AM21" s="32">
        <f t="shared" si="27"/>
        <v>0</v>
      </c>
      <c r="AN21" s="31">
        <f t="shared" si="43"/>
        <v>1.0120481927710843</v>
      </c>
      <c r="AO21" s="26">
        <f t="shared" si="41"/>
        <v>1</v>
      </c>
      <c r="AP21" s="26">
        <f t="shared" si="44"/>
        <v>1749</v>
      </c>
      <c r="AQ21" s="42">
        <f t="shared" si="42"/>
        <v>9.0355146201182526E-2</v>
      </c>
      <c r="AR21" s="28">
        <f t="shared" si="7"/>
        <v>0.15523066403893335</v>
      </c>
      <c r="AS21" s="26">
        <f t="shared" si="28"/>
        <v>0</v>
      </c>
      <c r="AT21" s="26">
        <f t="shared" si="29"/>
        <v>0</v>
      </c>
      <c r="AU21" s="26">
        <f t="shared" si="30"/>
        <v>0</v>
      </c>
      <c r="AV21" s="32">
        <f t="shared" si="31"/>
        <v>0</v>
      </c>
      <c r="AW21" s="31">
        <f t="shared" si="46"/>
        <v>4.0160642570281121E-3</v>
      </c>
      <c r="AX21" s="26">
        <f t="shared" si="16"/>
        <v>1</v>
      </c>
      <c r="AY21" s="26">
        <f t="shared" si="47"/>
        <v>1999</v>
      </c>
      <c r="AZ21" s="42">
        <f t="shared" si="45"/>
        <v>1.3683753258035996E-3</v>
      </c>
      <c r="BA21" s="28">
        <f t="shared" si="32"/>
        <v>0.12439183318853171</v>
      </c>
      <c r="BB21" s="26">
        <f t="shared" si="8"/>
        <v>1</v>
      </c>
      <c r="BC21" s="26">
        <f t="shared" si="33"/>
        <v>0</v>
      </c>
      <c r="BD21" s="26">
        <f t="shared" si="34"/>
        <v>0</v>
      </c>
      <c r="BE21" s="32">
        <f t="shared" si="35"/>
        <v>0</v>
      </c>
      <c r="BF21" s="29">
        <f t="shared" si="48"/>
        <v>0</v>
      </c>
      <c r="BG21" s="26">
        <f t="shared" si="17"/>
        <v>1</v>
      </c>
      <c r="BH21" s="26">
        <f t="shared" si="49"/>
        <v>2248</v>
      </c>
      <c r="BI21" s="42">
        <f t="shared" si="50"/>
        <v>5.3005604600901042E-2</v>
      </c>
      <c r="BJ21" s="28">
        <f t="shared" si="51"/>
        <v>0.10489395215941977</v>
      </c>
      <c r="BK21" s="26">
        <f t="shared" si="36"/>
        <v>0</v>
      </c>
      <c r="BL21" s="26">
        <f t="shared" si="37"/>
        <v>0</v>
      </c>
      <c r="BM21" s="26">
        <f t="shared" si="38"/>
        <v>1</v>
      </c>
      <c r="BN21" s="32">
        <f t="shared" si="39"/>
        <v>0</v>
      </c>
    </row>
    <row r="22" spans="21:66" x14ac:dyDescent="0.3">
      <c r="U22">
        <v>250</v>
      </c>
      <c r="V22" s="31">
        <f t="shared" si="18"/>
        <v>4.0000000000000001E-3</v>
      </c>
      <c r="W22" s="26">
        <f t="shared" si="9"/>
        <v>1</v>
      </c>
      <c r="X22" s="26">
        <f t="shared" si="10"/>
        <v>499</v>
      </c>
      <c r="Y22" s="42">
        <f t="shared" si="11"/>
        <v>0.37800141706248191</v>
      </c>
      <c r="Z22" s="28">
        <f t="shared" si="12"/>
        <v>0.31162253654184274</v>
      </c>
      <c r="AA22" s="26">
        <f t="shared" si="13"/>
        <v>0</v>
      </c>
      <c r="AB22" s="26">
        <f t="shared" si="19"/>
        <v>0</v>
      </c>
      <c r="AC22" s="26">
        <f t="shared" si="14"/>
        <v>0</v>
      </c>
      <c r="AD22" s="32">
        <f t="shared" si="15"/>
        <v>0</v>
      </c>
      <c r="AE22" s="31">
        <f t="shared" si="20"/>
        <v>1</v>
      </c>
      <c r="AF22" s="26">
        <f t="shared" si="21"/>
        <v>1</v>
      </c>
      <c r="AG22" s="26">
        <f t="shared" si="40"/>
        <v>999</v>
      </c>
      <c r="AH22" s="42">
        <f t="shared" si="22"/>
        <v>0.17041238206297049</v>
      </c>
      <c r="AI22" s="28">
        <f t="shared" si="23"/>
        <v>0.20760450899325064</v>
      </c>
      <c r="AJ22" s="26">
        <f t="shared" si="24"/>
        <v>0</v>
      </c>
      <c r="AK22" s="26">
        <f t="shared" si="25"/>
        <v>0</v>
      </c>
      <c r="AL22" s="26">
        <f t="shared" si="26"/>
        <v>1</v>
      </c>
      <c r="AM22" s="32">
        <f t="shared" si="27"/>
        <v>0</v>
      </c>
      <c r="AN22" s="31">
        <f t="shared" si="43"/>
        <v>0.996</v>
      </c>
      <c r="AO22" s="26">
        <f t="shared" si="41"/>
        <v>1</v>
      </c>
      <c r="AP22" s="26">
        <f t="shared" si="44"/>
        <v>1498</v>
      </c>
      <c r="AQ22" s="42">
        <f t="shared" si="42"/>
        <v>6.6122350480633835E-2</v>
      </c>
      <c r="AR22" s="28">
        <f t="shared" si="7"/>
        <v>0.15585408036037485</v>
      </c>
      <c r="AS22" s="26">
        <f t="shared" si="28"/>
        <v>0</v>
      </c>
      <c r="AT22" s="26">
        <f t="shared" si="29"/>
        <v>0</v>
      </c>
      <c r="AU22" s="26">
        <f t="shared" si="30"/>
        <v>0</v>
      </c>
      <c r="AV22" s="32">
        <f t="shared" si="31"/>
        <v>0</v>
      </c>
      <c r="AW22" s="31">
        <f t="shared" si="46"/>
        <v>1.004</v>
      </c>
      <c r="AX22" s="26">
        <f t="shared" si="16"/>
        <v>0</v>
      </c>
      <c r="AY22" s="26">
        <f t="shared" si="47"/>
        <v>1999</v>
      </c>
      <c r="AZ22" s="42">
        <f t="shared" si="45"/>
        <v>1.3683753258035996E-3</v>
      </c>
      <c r="BA22" s="28">
        <f t="shared" si="32"/>
        <v>0.12489139878366638</v>
      </c>
      <c r="BB22" s="26">
        <f t="shared" si="8"/>
        <v>1</v>
      </c>
      <c r="BC22" s="26">
        <f t="shared" si="33"/>
        <v>0</v>
      </c>
      <c r="BD22" s="26">
        <f t="shared" si="34"/>
        <v>0</v>
      </c>
      <c r="BE22" s="32">
        <f t="shared" si="35"/>
        <v>0</v>
      </c>
      <c r="BF22" s="29">
        <f t="shared" si="48"/>
        <v>0</v>
      </c>
      <c r="BG22" s="26">
        <f t="shared" si="17"/>
        <v>1</v>
      </c>
      <c r="BH22" s="26">
        <f t="shared" si="49"/>
        <v>2249</v>
      </c>
      <c r="BI22" s="42">
        <f t="shared" si="50"/>
        <v>5.2584343748855185E-2</v>
      </c>
      <c r="BJ22" s="28">
        <f t="shared" si="51"/>
        <v>0.10531521301146562</v>
      </c>
      <c r="BK22" s="26">
        <f t="shared" si="36"/>
        <v>0</v>
      </c>
      <c r="BL22" s="26">
        <f t="shared" si="37"/>
        <v>0</v>
      </c>
      <c r="BM22" s="26">
        <f t="shared" si="38"/>
        <v>1</v>
      </c>
      <c r="BN22" s="32">
        <f t="shared" si="39"/>
        <v>0</v>
      </c>
    </row>
    <row r="23" spans="21:66" x14ac:dyDescent="0.3">
      <c r="U23">
        <v>501</v>
      </c>
      <c r="V23" s="31">
        <f t="shared" si="18"/>
        <v>0.50099800399201599</v>
      </c>
      <c r="W23" s="26">
        <f t="shared" si="9"/>
        <v>1</v>
      </c>
      <c r="X23" s="26">
        <f t="shared" si="10"/>
        <v>751</v>
      </c>
      <c r="Y23" s="42">
        <f t="shared" si="11"/>
        <v>6.3885900228304468E-2</v>
      </c>
      <c r="Z23" s="28">
        <f t="shared" si="12"/>
        <v>0.62449156322985278</v>
      </c>
      <c r="AA23" s="26">
        <f t="shared" si="13"/>
        <v>0</v>
      </c>
      <c r="AB23" s="26">
        <f t="shared" si="19"/>
        <v>0</v>
      </c>
      <c r="AC23" s="26">
        <f t="shared" si="14"/>
        <v>0</v>
      </c>
      <c r="AD23" s="32">
        <f t="shared" si="15"/>
        <v>0</v>
      </c>
      <c r="AE23" s="31">
        <f t="shared" si="20"/>
        <v>0.50299401197604787</v>
      </c>
      <c r="AF23" s="26">
        <f t="shared" si="21"/>
        <v>1</v>
      </c>
      <c r="AG23" s="26">
        <f t="shared" si="40"/>
        <v>1000</v>
      </c>
      <c r="AH23" s="42">
        <f t="shared" si="22"/>
        <v>0.16958196402699749</v>
      </c>
      <c r="AI23" s="28">
        <f t="shared" si="23"/>
        <v>0.41603943602247428</v>
      </c>
      <c r="AJ23" s="26">
        <f t="shared" si="24"/>
        <v>0</v>
      </c>
      <c r="AK23" s="26">
        <f t="shared" si="25"/>
        <v>0</v>
      </c>
      <c r="AL23" s="26">
        <f t="shared" si="26"/>
        <v>0</v>
      </c>
      <c r="AM23" s="32">
        <f t="shared" si="27"/>
        <v>0</v>
      </c>
      <c r="AN23" s="31">
        <f t="shared" si="43"/>
        <v>1.996007984031936E-3</v>
      </c>
      <c r="AO23" s="26">
        <f t="shared" si="41"/>
        <v>1</v>
      </c>
      <c r="AP23" s="26">
        <f t="shared" si="44"/>
        <v>1500</v>
      </c>
      <c r="AQ23" s="42">
        <f t="shared" si="42"/>
        <v>6.4875517837750835E-2</v>
      </c>
      <c r="AR23" s="28">
        <f t="shared" si="7"/>
        <v>0.31233157704219122</v>
      </c>
      <c r="AS23" s="26">
        <f t="shared" si="28"/>
        <v>0</v>
      </c>
      <c r="AT23" s="26">
        <f t="shared" si="29"/>
        <v>0</v>
      </c>
      <c r="AU23" s="26">
        <f t="shared" si="30"/>
        <v>0</v>
      </c>
      <c r="AV23" s="32">
        <f t="shared" si="31"/>
        <v>0</v>
      </c>
      <c r="AW23" s="31">
        <f t="shared" si="46"/>
        <v>3.9920159680638719E-3</v>
      </c>
      <c r="AX23" s="26">
        <f t="shared" si="16"/>
        <v>1</v>
      </c>
      <c r="AY23" s="26">
        <f t="shared" si="47"/>
        <v>1999</v>
      </c>
      <c r="AZ23" s="42">
        <f t="shared" si="45"/>
        <v>1.3683753258035996E-3</v>
      </c>
      <c r="BA23" s="28">
        <f t="shared" si="32"/>
        <v>0.25028236316246744</v>
      </c>
      <c r="BB23" s="26">
        <f t="shared" si="8"/>
        <v>1</v>
      </c>
      <c r="BC23" s="26">
        <f t="shared" si="33"/>
        <v>0</v>
      </c>
      <c r="BD23" s="26">
        <f t="shared" si="34"/>
        <v>0</v>
      </c>
      <c r="BE23" s="32">
        <f t="shared" si="35"/>
        <v>0</v>
      </c>
      <c r="BF23" s="29">
        <f t="shared" si="48"/>
        <v>0</v>
      </c>
      <c r="BG23" s="26">
        <f t="shared" si="17"/>
        <v>1</v>
      </c>
      <c r="BH23" s="26">
        <f t="shared" si="49"/>
        <v>2500</v>
      </c>
      <c r="BI23" s="42">
        <f t="shared" si="50"/>
        <v>5.3152130114656311E-2</v>
      </c>
      <c r="BJ23" s="28">
        <f t="shared" si="51"/>
        <v>0.21105168687497713</v>
      </c>
      <c r="BK23" s="26">
        <f t="shared" si="36"/>
        <v>0</v>
      </c>
      <c r="BL23" s="26">
        <f t="shared" si="37"/>
        <v>0</v>
      </c>
      <c r="BM23" s="26">
        <f t="shared" si="38"/>
        <v>0</v>
      </c>
      <c r="BN23" s="32">
        <f t="shared" si="39"/>
        <v>0</v>
      </c>
    </row>
    <row r="24" spans="21:66" x14ac:dyDescent="0.3">
      <c r="U24" s="1">
        <v>499</v>
      </c>
      <c r="V24" s="31">
        <f t="shared" si="18"/>
        <v>4.0080160320641279E-3</v>
      </c>
      <c r="W24" s="26">
        <f t="shared" si="9"/>
        <v>1</v>
      </c>
      <c r="X24" s="26">
        <f t="shared" si="10"/>
        <v>1000</v>
      </c>
      <c r="Y24" s="42">
        <f t="shared" si="11"/>
        <v>0.24649014616737089</v>
      </c>
      <c r="Z24" s="28">
        <f t="shared" si="12"/>
        <v>0.62199858293751809</v>
      </c>
      <c r="AA24" s="26">
        <f t="shared" si="13"/>
        <v>0</v>
      </c>
      <c r="AB24" s="26">
        <f t="shared" si="19"/>
        <v>0</v>
      </c>
      <c r="AC24" s="26">
        <f t="shared" si="14"/>
        <v>0</v>
      </c>
      <c r="AD24" s="32">
        <f t="shared" si="15"/>
        <v>0</v>
      </c>
      <c r="AE24" s="31">
        <f t="shared" si="20"/>
        <v>0.49899799599198397</v>
      </c>
      <c r="AF24" s="26">
        <f t="shared" si="21"/>
        <v>1</v>
      </c>
      <c r="AG24" s="26">
        <f t="shared" si="40"/>
        <v>1250</v>
      </c>
      <c r="AH24" s="42">
        <f t="shared" si="22"/>
        <v>3.8022544966253152E-2</v>
      </c>
      <c r="AI24" s="28">
        <f t="shared" si="23"/>
        <v>0.41437859995052828</v>
      </c>
      <c r="AJ24" s="26">
        <f t="shared" si="24"/>
        <v>0</v>
      </c>
      <c r="AK24" s="26">
        <f t="shared" si="25"/>
        <v>0</v>
      </c>
      <c r="AL24" s="26">
        <f t="shared" si="26"/>
        <v>0</v>
      </c>
      <c r="AM24" s="32">
        <f t="shared" si="27"/>
        <v>0</v>
      </c>
      <c r="AN24" s="31">
        <f t="shared" si="43"/>
        <v>0.50100200400801598</v>
      </c>
      <c r="AO24" s="26">
        <f t="shared" si="41"/>
        <v>1</v>
      </c>
      <c r="AP24" s="26">
        <f t="shared" si="44"/>
        <v>1499</v>
      </c>
      <c r="AQ24" s="42">
        <f t="shared" si="42"/>
        <v>6.5498934159192335E-2</v>
      </c>
      <c r="AR24" s="28">
        <f t="shared" si="7"/>
        <v>0.31108474439930822</v>
      </c>
      <c r="AS24" s="26">
        <f t="shared" si="28"/>
        <v>0</v>
      </c>
      <c r="AT24" s="26">
        <f t="shared" si="29"/>
        <v>0</v>
      </c>
      <c r="AU24" s="26">
        <f t="shared" si="30"/>
        <v>0</v>
      </c>
      <c r="AV24" s="32">
        <f t="shared" si="31"/>
        <v>0</v>
      </c>
      <c r="AW24" s="31">
        <f t="shared" si="46"/>
        <v>2.004008016032064E-3</v>
      </c>
      <c r="AX24" s="26">
        <f t="shared" si="16"/>
        <v>1</v>
      </c>
      <c r="AY24" s="26">
        <f t="shared" si="47"/>
        <v>1999</v>
      </c>
      <c r="AZ24" s="42">
        <f t="shared" si="45"/>
        <v>1.3683753258035996E-3</v>
      </c>
      <c r="BA24" s="28">
        <f t="shared" si="32"/>
        <v>0.24928323197219809</v>
      </c>
      <c r="BB24" s="26">
        <f t="shared" si="8"/>
        <v>1</v>
      </c>
      <c r="BC24" s="26">
        <f t="shared" si="33"/>
        <v>0</v>
      </c>
      <c r="BD24" s="26">
        <f t="shared" si="34"/>
        <v>0</v>
      </c>
      <c r="BE24" s="32">
        <f t="shared" si="35"/>
        <v>0</v>
      </c>
      <c r="BF24" s="29">
        <f t="shared" si="48"/>
        <v>0</v>
      </c>
      <c r="BG24" s="26">
        <f t="shared" si="17"/>
        <v>1</v>
      </c>
      <c r="BH24" s="26">
        <f t="shared" si="49"/>
        <v>2498</v>
      </c>
      <c r="BI24" s="42">
        <f t="shared" si="50"/>
        <v>5.2309608410564583E-2</v>
      </c>
      <c r="BJ24" s="28">
        <f t="shared" si="51"/>
        <v>0.21020916517088539</v>
      </c>
      <c r="BK24" s="26">
        <f t="shared" si="36"/>
        <v>0</v>
      </c>
      <c r="BL24" s="26">
        <f t="shared" si="37"/>
        <v>0</v>
      </c>
      <c r="BM24" s="26">
        <f t="shared" si="38"/>
        <v>0</v>
      </c>
      <c r="BN24" s="32">
        <f t="shared" si="39"/>
        <v>0</v>
      </c>
    </row>
    <row r="25" spans="21:66" x14ac:dyDescent="0.3">
      <c r="U25">
        <v>500</v>
      </c>
      <c r="V25" s="31">
        <f t="shared" si="18"/>
        <v>2E-3</v>
      </c>
      <c r="W25" s="26">
        <f t="shared" si="9"/>
        <v>1</v>
      </c>
      <c r="X25" s="26">
        <f t="shared" si="10"/>
        <v>999</v>
      </c>
      <c r="Y25" s="42">
        <f t="shared" si="11"/>
        <v>0.24524365602120352</v>
      </c>
      <c r="Z25" s="28">
        <f t="shared" si="12"/>
        <v>0.62324507308368549</v>
      </c>
      <c r="AA25" s="26">
        <f t="shared" si="13"/>
        <v>0</v>
      </c>
      <c r="AB25" s="26">
        <f t="shared" si="19"/>
        <v>0</v>
      </c>
      <c r="AC25" s="26">
        <f t="shared" si="14"/>
        <v>0</v>
      </c>
      <c r="AD25" s="32">
        <f t="shared" si="15"/>
        <v>0</v>
      </c>
      <c r="AE25" s="31">
        <f t="shared" si="20"/>
        <v>2E-3</v>
      </c>
      <c r="AF25" s="26">
        <f t="shared" si="21"/>
        <v>1</v>
      </c>
      <c r="AG25" s="26">
        <f t="shared" si="40"/>
        <v>1500</v>
      </c>
      <c r="AH25" s="42">
        <f t="shared" si="22"/>
        <v>0.24562705395950379</v>
      </c>
      <c r="AI25" s="28">
        <f t="shared" si="23"/>
        <v>0.41520901798650128</v>
      </c>
      <c r="AJ25" s="26">
        <f t="shared" si="24"/>
        <v>0</v>
      </c>
      <c r="AK25" s="26">
        <f t="shared" si="25"/>
        <v>0</v>
      </c>
      <c r="AL25" s="26">
        <f t="shared" si="26"/>
        <v>0</v>
      </c>
      <c r="AM25" s="32">
        <f t="shared" si="27"/>
        <v>0</v>
      </c>
      <c r="AN25" s="31">
        <f t="shared" si="43"/>
        <v>0.5</v>
      </c>
      <c r="AO25" s="26">
        <f t="shared" si="41"/>
        <v>1</v>
      </c>
      <c r="AP25" s="26">
        <f t="shared" si="44"/>
        <v>1750</v>
      </c>
      <c r="AQ25" s="42">
        <f t="shared" si="42"/>
        <v>9.0978562522624012E-2</v>
      </c>
      <c r="AR25" s="28">
        <f t="shared" si="7"/>
        <v>0.31170816072074969</v>
      </c>
      <c r="AS25" s="26">
        <f t="shared" si="28"/>
        <v>0</v>
      </c>
      <c r="AT25" s="26">
        <f t="shared" si="29"/>
        <v>0</v>
      </c>
      <c r="AU25" s="26">
        <f t="shared" si="30"/>
        <v>0</v>
      </c>
      <c r="AV25" s="32">
        <f t="shared" si="31"/>
        <v>0</v>
      </c>
      <c r="AW25" s="31">
        <f t="shared" si="46"/>
        <v>0.502</v>
      </c>
      <c r="AX25" s="26">
        <f t="shared" si="16"/>
        <v>0</v>
      </c>
      <c r="AY25" s="26">
        <f t="shared" si="47"/>
        <v>1999</v>
      </c>
      <c r="AZ25" s="42">
        <f t="shared" si="45"/>
        <v>1.3683753258035996E-3</v>
      </c>
      <c r="BA25" s="28">
        <f t="shared" si="32"/>
        <v>0.24978279756733276</v>
      </c>
      <c r="BB25" s="26">
        <f t="shared" si="8"/>
        <v>1</v>
      </c>
      <c r="BC25" s="26">
        <f t="shared" si="33"/>
        <v>0</v>
      </c>
      <c r="BD25" s="26">
        <f t="shared" si="34"/>
        <v>0</v>
      </c>
      <c r="BE25" s="32">
        <f t="shared" si="35"/>
        <v>0</v>
      </c>
      <c r="BF25" s="29">
        <f t="shared" si="48"/>
        <v>0</v>
      </c>
      <c r="BG25" s="26">
        <f t="shared" si="17"/>
        <v>1</v>
      </c>
      <c r="BH25" s="26">
        <f t="shared" si="49"/>
        <v>2499</v>
      </c>
      <c r="BI25" s="42">
        <f t="shared" si="50"/>
        <v>5.2730869262610447E-2</v>
      </c>
      <c r="BJ25" s="28">
        <f t="shared" si="51"/>
        <v>0.21063042602293125</v>
      </c>
      <c r="BK25" s="26">
        <f t="shared" si="36"/>
        <v>0</v>
      </c>
      <c r="BL25" s="26">
        <f t="shared" si="37"/>
        <v>0</v>
      </c>
      <c r="BM25" s="26">
        <f t="shared" si="38"/>
        <v>0</v>
      </c>
      <c r="BN25" s="32">
        <f t="shared" si="39"/>
        <v>0</v>
      </c>
    </row>
    <row r="26" spans="21:66" x14ac:dyDescent="0.3">
      <c r="U26">
        <v>249</v>
      </c>
      <c r="V26" s="31">
        <f t="shared" si="18"/>
        <v>1.0080321285140563</v>
      </c>
      <c r="W26" s="26">
        <f t="shared" si="9"/>
        <v>1</v>
      </c>
      <c r="X26" s="26">
        <f t="shared" si="10"/>
        <v>749</v>
      </c>
      <c r="Y26" s="42">
        <f t="shared" si="11"/>
        <v>6.6378880520639214E-2</v>
      </c>
      <c r="Z26" s="28">
        <f t="shared" si="12"/>
        <v>0.31037604639567534</v>
      </c>
      <c r="AA26" s="26">
        <f t="shared" si="13"/>
        <v>0</v>
      </c>
      <c r="AB26" s="26">
        <f t="shared" si="19"/>
        <v>0</v>
      </c>
      <c r="AC26" s="26">
        <f t="shared" si="14"/>
        <v>0</v>
      </c>
      <c r="AD26" s="32">
        <f t="shared" si="15"/>
        <v>0</v>
      </c>
      <c r="AE26" s="31">
        <f t="shared" si="20"/>
        <v>1.0040160642570282</v>
      </c>
      <c r="AF26" s="26">
        <f t="shared" si="21"/>
        <v>1</v>
      </c>
      <c r="AG26" s="26">
        <f t="shared" si="40"/>
        <v>1248</v>
      </c>
      <c r="AH26" s="42">
        <f t="shared" si="22"/>
        <v>3.6361708894307149E-2</v>
      </c>
      <c r="AI26" s="28">
        <f t="shared" si="23"/>
        <v>0.20677409095727764</v>
      </c>
      <c r="AJ26" s="26">
        <f t="shared" si="24"/>
        <v>0</v>
      </c>
      <c r="AK26" s="26">
        <f t="shared" si="25"/>
        <v>0</v>
      </c>
      <c r="AL26" s="26">
        <f t="shared" si="26"/>
        <v>1</v>
      </c>
      <c r="AM26" s="32">
        <f t="shared" si="27"/>
        <v>0</v>
      </c>
      <c r="AN26" s="31">
        <f t="shared" si="43"/>
        <v>1.0120481927710843</v>
      </c>
      <c r="AO26" s="26">
        <f t="shared" si="41"/>
        <v>1</v>
      </c>
      <c r="AP26" s="26">
        <f t="shared" si="44"/>
        <v>1749</v>
      </c>
      <c r="AQ26" s="42">
        <f t="shared" si="42"/>
        <v>9.0355146201182526E-2</v>
      </c>
      <c r="AR26" s="28">
        <f t="shared" si="7"/>
        <v>0.15523066403893335</v>
      </c>
      <c r="AS26" s="26">
        <f t="shared" si="28"/>
        <v>0</v>
      </c>
      <c r="AT26" s="26">
        <f t="shared" si="29"/>
        <v>0</v>
      </c>
      <c r="AU26" s="26">
        <f t="shared" si="30"/>
        <v>0</v>
      </c>
      <c r="AV26" s="32">
        <f t="shared" si="31"/>
        <v>0</v>
      </c>
      <c r="AW26" s="31">
        <f t="shared" si="46"/>
        <v>4.0160642570281121E-3</v>
      </c>
      <c r="AX26" s="26">
        <f t="shared" si="16"/>
        <v>1</v>
      </c>
      <c r="AY26" s="26">
        <f t="shared" si="47"/>
        <v>1999</v>
      </c>
      <c r="AZ26" s="42">
        <f t="shared" si="45"/>
        <v>1.3683753258035996E-3</v>
      </c>
      <c r="BA26" s="28">
        <f t="shared" si="32"/>
        <v>0.12439183318853171</v>
      </c>
      <c r="BB26" s="26">
        <f t="shared" si="8"/>
        <v>1</v>
      </c>
      <c r="BC26" s="26">
        <f t="shared" si="33"/>
        <v>0</v>
      </c>
      <c r="BD26" s="26">
        <f t="shared" si="34"/>
        <v>0</v>
      </c>
      <c r="BE26" s="32">
        <f t="shared" si="35"/>
        <v>0</v>
      </c>
      <c r="BF26" s="29">
        <f t="shared" si="48"/>
        <v>0</v>
      </c>
      <c r="BG26" s="26">
        <f t="shared" si="17"/>
        <v>1</v>
      </c>
      <c r="BH26" s="26">
        <f t="shared" si="49"/>
        <v>2248</v>
      </c>
      <c r="BI26" s="42">
        <f t="shared" si="50"/>
        <v>5.3005604600901042E-2</v>
      </c>
      <c r="BJ26" s="28">
        <f t="shared" si="51"/>
        <v>0.10489395215941977</v>
      </c>
      <c r="BK26" s="26">
        <f t="shared" si="36"/>
        <v>0</v>
      </c>
      <c r="BL26" s="26">
        <f t="shared" si="37"/>
        <v>0</v>
      </c>
      <c r="BM26" s="26">
        <f t="shared" si="38"/>
        <v>1</v>
      </c>
      <c r="BN26" s="32">
        <f t="shared" si="39"/>
        <v>0</v>
      </c>
    </row>
    <row r="27" spans="21:66" x14ac:dyDescent="0.3">
      <c r="U27">
        <v>250</v>
      </c>
      <c r="V27" s="31">
        <f t="shared" si="18"/>
        <v>4.0000000000000001E-3</v>
      </c>
      <c r="W27" s="26">
        <f t="shared" si="9"/>
        <v>1</v>
      </c>
      <c r="X27" s="26">
        <f t="shared" si="10"/>
        <v>499</v>
      </c>
      <c r="Y27" s="42">
        <f t="shared" si="11"/>
        <v>0.37800141706248191</v>
      </c>
      <c r="Z27" s="28">
        <f t="shared" si="12"/>
        <v>0.31162253654184274</v>
      </c>
      <c r="AA27" s="26">
        <f t="shared" si="13"/>
        <v>0</v>
      </c>
      <c r="AB27" s="26">
        <f t="shared" si="19"/>
        <v>0</v>
      </c>
      <c r="AC27" s="26">
        <f t="shared" si="14"/>
        <v>0</v>
      </c>
      <c r="AD27" s="32">
        <f t="shared" si="15"/>
        <v>0</v>
      </c>
      <c r="AE27" s="31">
        <f t="shared" si="20"/>
        <v>1</v>
      </c>
      <c r="AF27" s="26">
        <f t="shared" si="21"/>
        <v>1</v>
      </c>
      <c r="AG27" s="26">
        <f t="shared" si="40"/>
        <v>999</v>
      </c>
      <c r="AH27" s="42">
        <f t="shared" si="22"/>
        <v>0.17041238206297049</v>
      </c>
      <c r="AI27" s="28">
        <f t="shared" si="23"/>
        <v>0.20760450899325064</v>
      </c>
      <c r="AJ27" s="26">
        <f t="shared" si="24"/>
        <v>0</v>
      </c>
      <c r="AK27" s="26">
        <f t="shared" si="25"/>
        <v>0</v>
      </c>
      <c r="AL27" s="26">
        <f t="shared" si="26"/>
        <v>1</v>
      </c>
      <c r="AM27" s="32">
        <f t="shared" si="27"/>
        <v>0</v>
      </c>
      <c r="AN27" s="31">
        <f t="shared" si="43"/>
        <v>0.996</v>
      </c>
      <c r="AO27" s="26">
        <f t="shared" si="41"/>
        <v>1</v>
      </c>
      <c r="AP27" s="26">
        <f t="shared" si="44"/>
        <v>1498</v>
      </c>
      <c r="AQ27" s="42">
        <f t="shared" si="42"/>
        <v>6.6122350480633835E-2</v>
      </c>
      <c r="AR27" s="28">
        <f t="shared" si="7"/>
        <v>0.15585408036037485</v>
      </c>
      <c r="AS27" s="26">
        <f t="shared" si="28"/>
        <v>0</v>
      </c>
      <c r="AT27" s="26">
        <f t="shared" si="29"/>
        <v>0</v>
      </c>
      <c r="AU27" s="26">
        <f t="shared" si="30"/>
        <v>0</v>
      </c>
      <c r="AV27" s="32">
        <f t="shared" si="31"/>
        <v>0</v>
      </c>
      <c r="AW27" s="31">
        <f t="shared" si="46"/>
        <v>1.004</v>
      </c>
      <c r="AX27" s="26">
        <f t="shared" si="16"/>
        <v>0</v>
      </c>
      <c r="AY27" s="26">
        <f t="shared" si="47"/>
        <v>1999</v>
      </c>
      <c r="AZ27" s="42">
        <f t="shared" si="45"/>
        <v>1.3683753258035996E-3</v>
      </c>
      <c r="BA27" s="28">
        <f t="shared" si="32"/>
        <v>0.12489139878366638</v>
      </c>
      <c r="BB27" s="26">
        <f t="shared" si="8"/>
        <v>1</v>
      </c>
      <c r="BC27" s="26">
        <f t="shared" si="33"/>
        <v>0</v>
      </c>
      <c r="BD27" s="26">
        <f t="shared" si="34"/>
        <v>0</v>
      </c>
      <c r="BE27" s="32">
        <f t="shared" si="35"/>
        <v>0</v>
      </c>
      <c r="BF27" s="29">
        <f t="shared" si="48"/>
        <v>0</v>
      </c>
      <c r="BG27" s="26">
        <f t="shared" si="17"/>
        <v>1</v>
      </c>
      <c r="BH27" s="26">
        <f t="shared" si="49"/>
        <v>2249</v>
      </c>
      <c r="BI27" s="42">
        <f t="shared" si="50"/>
        <v>5.2584343748855185E-2</v>
      </c>
      <c r="BJ27" s="28">
        <f t="shared" si="51"/>
        <v>0.10531521301146562</v>
      </c>
      <c r="BK27" s="26">
        <f t="shared" si="36"/>
        <v>0</v>
      </c>
      <c r="BL27" s="26">
        <f t="shared" si="37"/>
        <v>0</v>
      </c>
      <c r="BM27" s="26">
        <f t="shared" si="38"/>
        <v>1</v>
      </c>
      <c r="BN27" s="32">
        <f t="shared" si="39"/>
        <v>0</v>
      </c>
    </row>
    <row r="28" spans="21:66" x14ac:dyDescent="0.3">
      <c r="U28">
        <v>501</v>
      </c>
      <c r="V28" s="31">
        <f t="shared" si="18"/>
        <v>0.50099800399201599</v>
      </c>
      <c r="W28" s="26">
        <f t="shared" si="9"/>
        <v>1</v>
      </c>
      <c r="X28" s="26">
        <f t="shared" si="10"/>
        <v>751</v>
      </c>
      <c r="Y28" s="42">
        <f t="shared" si="11"/>
        <v>6.3885900228304468E-2</v>
      </c>
      <c r="Z28" s="28">
        <f t="shared" si="12"/>
        <v>0.62449156322985278</v>
      </c>
      <c r="AA28" s="26">
        <f t="shared" si="13"/>
        <v>0</v>
      </c>
      <c r="AB28" s="26">
        <f t="shared" si="19"/>
        <v>0</v>
      </c>
      <c r="AC28" s="26">
        <f t="shared" si="14"/>
        <v>0</v>
      </c>
      <c r="AD28" s="32">
        <f t="shared" si="15"/>
        <v>0</v>
      </c>
      <c r="AE28" s="31">
        <f t="shared" si="20"/>
        <v>0.50299401197604787</v>
      </c>
      <c r="AF28" s="26">
        <f t="shared" si="21"/>
        <v>1</v>
      </c>
      <c r="AG28" s="26">
        <f t="shared" si="40"/>
        <v>1000</v>
      </c>
      <c r="AH28" s="42">
        <f t="shared" si="22"/>
        <v>0.16958196402699749</v>
      </c>
      <c r="AI28" s="28">
        <f t="shared" si="23"/>
        <v>0.41603943602247428</v>
      </c>
      <c r="AJ28" s="26">
        <f t="shared" si="24"/>
        <v>0</v>
      </c>
      <c r="AK28" s="26">
        <f t="shared" si="25"/>
        <v>0</v>
      </c>
      <c r="AL28" s="26">
        <f t="shared" si="26"/>
        <v>0</v>
      </c>
      <c r="AM28" s="32">
        <f t="shared" si="27"/>
        <v>0</v>
      </c>
      <c r="AN28" s="31">
        <f t="shared" si="43"/>
        <v>1.996007984031936E-3</v>
      </c>
      <c r="AO28" s="26">
        <f t="shared" si="41"/>
        <v>1</v>
      </c>
      <c r="AP28" s="26">
        <f t="shared" si="44"/>
        <v>1500</v>
      </c>
      <c r="AQ28" s="42">
        <f t="shared" si="42"/>
        <v>6.4875517837750835E-2</v>
      </c>
      <c r="AR28" s="28">
        <f t="shared" si="7"/>
        <v>0.31233157704219122</v>
      </c>
      <c r="AS28" s="26">
        <f t="shared" si="28"/>
        <v>0</v>
      </c>
      <c r="AT28" s="26">
        <f t="shared" si="29"/>
        <v>0</v>
      </c>
      <c r="AU28" s="26">
        <f t="shared" si="30"/>
        <v>0</v>
      </c>
      <c r="AV28" s="32">
        <f t="shared" si="31"/>
        <v>0</v>
      </c>
      <c r="AW28" s="31">
        <f t="shared" si="46"/>
        <v>3.9920159680638719E-3</v>
      </c>
      <c r="AX28" s="26">
        <f t="shared" si="16"/>
        <v>1</v>
      </c>
      <c r="AY28" s="26">
        <f t="shared" si="47"/>
        <v>1999</v>
      </c>
      <c r="AZ28" s="42">
        <f t="shared" si="45"/>
        <v>1.3683753258035996E-3</v>
      </c>
      <c r="BA28" s="28">
        <f t="shared" si="32"/>
        <v>0.25028236316246744</v>
      </c>
      <c r="BB28" s="26">
        <f t="shared" si="8"/>
        <v>1</v>
      </c>
      <c r="BC28" s="26">
        <f t="shared" si="33"/>
        <v>0</v>
      </c>
      <c r="BD28" s="26">
        <f t="shared" si="34"/>
        <v>0</v>
      </c>
      <c r="BE28" s="32">
        <f t="shared" si="35"/>
        <v>0</v>
      </c>
      <c r="BF28" s="29">
        <f t="shared" si="48"/>
        <v>0</v>
      </c>
      <c r="BG28" s="26">
        <f t="shared" si="17"/>
        <v>1</v>
      </c>
      <c r="BH28" s="26">
        <f t="shared" si="49"/>
        <v>2500</v>
      </c>
      <c r="BI28" s="42">
        <f t="shared" si="50"/>
        <v>5.3152130114656311E-2</v>
      </c>
      <c r="BJ28" s="28">
        <f t="shared" si="51"/>
        <v>0.21105168687497713</v>
      </c>
      <c r="BK28" s="26">
        <f t="shared" si="36"/>
        <v>0</v>
      </c>
      <c r="BL28" s="26">
        <f t="shared" si="37"/>
        <v>0</v>
      </c>
      <c r="BM28" s="26">
        <f t="shared" si="38"/>
        <v>0</v>
      </c>
      <c r="BN28" s="32">
        <f t="shared" si="39"/>
        <v>0</v>
      </c>
    </row>
    <row r="29" spans="21:66" x14ac:dyDescent="0.3">
      <c r="U29" s="1">
        <v>499</v>
      </c>
      <c r="V29" s="31">
        <f t="shared" si="18"/>
        <v>4.0080160320641279E-3</v>
      </c>
      <c r="W29" s="26">
        <f t="shared" si="9"/>
        <v>1</v>
      </c>
      <c r="X29" s="26">
        <f t="shared" si="10"/>
        <v>1000</v>
      </c>
      <c r="Y29" s="42">
        <f t="shared" si="11"/>
        <v>0.24649014616737089</v>
      </c>
      <c r="Z29" s="28">
        <f t="shared" si="12"/>
        <v>0.62199858293751809</v>
      </c>
      <c r="AA29" s="26">
        <f t="shared" si="13"/>
        <v>0</v>
      </c>
      <c r="AB29" s="26">
        <f t="shared" si="19"/>
        <v>0</v>
      </c>
      <c r="AC29" s="26">
        <f t="shared" si="14"/>
        <v>0</v>
      </c>
      <c r="AD29" s="32">
        <f t="shared" si="15"/>
        <v>0</v>
      </c>
      <c r="AE29" s="31">
        <f t="shared" si="20"/>
        <v>0.49899799599198397</v>
      </c>
      <c r="AF29" s="26">
        <f t="shared" si="21"/>
        <v>1</v>
      </c>
      <c r="AG29" s="26">
        <f t="shared" si="40"/>
        <v>1250</v>
      </c>
      <c r="AH29" s="42">
        <f t="shared" si="22"/>
        <v>3.8022544966253152E-2</v>
      </c>
      <c r="AI29" s="28">
        <f t="shared" si="23"/>
        <v>0.41437859995052828</v>
      </c>
      <c r="AJ29" s="26">
        <f t="shared" si="24"/>
        <v>0</v>
      </c>
      <c r="AK29" s="26">
        <f t="shared" si="25"/>
        <v>0</v>
      </c>
      <c r="AL29" s="26">
        <f t="shared" si="26"/>
        <v>0</v>
      </c>
      <c r="AM29" s="32">
        <f t="shared" si="27"/>
        <v>0</v>
      </c>
      <c r="AN29" s="31">
        <f t="shared" si="43"/>
        <v>0.50100200400801598</v>
      </c>
      <c r="AO29" s="26">
        <f t="shared" si="41"/>
        <v>1</v>
      </c>
      <c r="AP29" s="26">
        <f t="shared" si="44"/>
        <v>1499</v>
      </c>
      <c r="AQ29" s="42">
        <f t="shared" si="42"/>
        <v>6.5498934159192335E-2</v>
      </c>
      <c r="AR29" s="28">
        <f t="shared" si="7"/>
        <v>0.31108474439930822</v>
      </c>
      <c r="AS29" s="26">
        <f t="shared" si="28"/>
        <v>0</v>
      </c>
      <c r="AT29" s="26">
        <f t="shared" si="29"/>
        <v>0</v>
      </c>
      <c r="AU29" s="26">
        <f t="shared" si="30"/>
        <v>0</v>
      </c>
      <c r="AV29" s="32">
        <f t="shared" si="31"/>
        <v>0</v>
      </c>
      <c r="AW29" s="31">
        <f t="shared" si="46"/>
        <v>2.004008016032064E-3</v>
      </c>
      <c r="AX29" s="26">
        <f t="shared" si="16"/>
        <v>1</v>
      </c>
      <c r="AY29" s="26">
        <f t="shared" si="47"/>
        <v>1999</v>
      </c>
      <c r="AZ29" s="42">
        <f t="shared" si="45"/>
        <v>1.3683753258035996E-3</v>
      </c>
      <c r="BA29" s="28">
        <f t="shared" si="32"/>
        <v>0.24928323197219809</v>
      </c>
      <c r="BB29" s="26">
        <f t="shared" si="8"/>
        <v>1</v>
      </c>
      <c r="BC29" s="26">
        <f t="shared" si="33"/>
        <v>0</v>
      </c>
      <c r="BD29" s="26">
        <f t="shared" si="34"/>
        <v>0</v>
      </c>
      <c r="BE29" s="32">
        <f t="shared" si="35"/>
        <v>0</v>
      </c>
      <c r="BF29" s="29">
        <f t="shared" si="48"/>
        <v>0</v>
      </c>
      <c r="BG29" s="26">
        <f t="shared" si="17"/>
        <v>1</v>
      </c>
      <c r="BH29" s="26">
        <f t="shared" si="49"/>
        <v>2498</v>
      </c>
      <c r="BI29" s="42">
        <f t="shared" si="50"/>
        <v>5.2309608410564583E-2</v>
      </c>
      <c r="BJ29" s="28">
        <f t="shared" si="51"/>
        <v>0.21020916517088539</v>
      </c>
      <c r="BK29" s="26">
        <f t="shared" si="36"/>
        <v>0</v>
      </c>
      <c r="BL29" s="26">
        <f t="shared" si="37"/>
        <v>0</v>
      </c>
      <c r="BM29" s="26">
        <f t="shared" si="38"/>
        <v>0</v>
      </c>
      <c r="BN29" s="32">
        <f t="shared" si="39"/>
        <v>0</v>
      </c>
    </row>
    <row r="30" spans="21:66" x14ac:dyDescent="0.3">
      <c r="U30">
        <v>500</v>
      </c>
      <c r="V30" s="31">
        <f t="shared" si="18"/>
        <v>2E-3</v>
      </c>
      <c r="W30" s="26">
        <f t="shared" si="9"/>
        <v>1</v>
      </c>
      <c r="X30" s="26">
        <f t="shared" si="10"/>
        <v>999</v>
      </c>
      <c r="Y30" s="42">
        <f t="shared" si="11"/>
        <v>0.24524365602120352</v>
      </c>
      <c r="Z30" s="28">
        <f t="shared" si="12"/>
        <v>0.62324507308368549</v>
      </c>
      <c r="AA30" s="26">
        <f t="shared" si="13"/>
        <v>0</v>
      </c>
      <c r="AB30" s="26">
        <f t="shared" si="19"/>
        <v>0</v>
      </c>
      <c r="AC30" s="26">
        <f t="shared" si="14"/>
        <v>0</v>
      </c>
      <c r="AD30" s="32">
        <f t="shared" si="15"/>
        <v>0</v>
      </c>
      <c r="AE30" s="31">
        <f t="shared" si="20"/>
        <v>2E-3</v>
      </c>
      <c r="AF30" s="26">
        <f t="shared" si="21"/>
        <v>1</v>
      </c>
      <c r="AG30" s="26">
        <f t="shared" si="40"/>
        <v>1500</v>
      </c>
      <c r="AH30" s="42">
        <f t="shared" si="22"/>
        <v>0.24562705395950379</v>
      </c>
      <c r="AI30" s="28">
        <f t="shared" si="23"/>
        <v>0.41520901798650128</v>
      </c>
      <c r="AJ30" s="26">
        <f t="shared" si="24"/>
        <v>0</v>
      </c>
      <c r="AK30" s="26">
        <f t="shared" si="25"/>
        <v>0</v>
      </c>
      <c r="AL30" s="26">
        <f t="shared" si="26"/>
        <v>0</v>
      </c>
      <c r="AM30" s="32">
        <f t="shared" si="27"/>
        <v>0</v>
      </c>
      <c r="AN30" s="31">
        <f t="shared" si="43"/>
        <v>0.5</v>
      </c>
      <c r="AO30" s="26">
        <f t="shared" si="41"/>
        <v>1</v>
      </c>
      <c r="AP30" s="26">
        <f t="shared" si="44"/>
        <v>1750</v>
      </c>
      <c r="AQ30" s="42">
        <f t="shared" si="42"/>
        <v>9.0978562522624012E-2</v>
      </c>
      <c r="AR30" s="28">
        <f t="shared" si="7"/>
        <v>0.31170816072074969</v>
      </c>
      <c r="AS30" s="26">
        <f t="shared" si="28"/>
        <v>0</v>
      </c>
      <c r="AT30" s="26">
        <f t="shared" si="29"/>
        <v>0</v>
      </c>
      <c r="AU30" s="26">
        <f t="shared" si="30"/>
        <v>0</v>
      </c>
      <c r="AV30" s="32">
        <f t="shared" si="31"/>
        <v>0</v>
      </c>
      <c r="AW30" s="31">
        <f t="shared" si="46"/>
        <v>0.502</v>
      </c>
      <c r="AX30" s="26">
        <f t="shared" si="16"/>
        <v>0</v>
      </c>
      <c r="AY30" s="26">
        <f t="shared" si="47"/>
        <v>1999</v>
      </c>
      <c r="AZ30" s="42">
        <f t="shared" si="45"/>
        <v>1.3683753258035996E-3</v>
      </c>
      <c r="BA30" s="28">
        <f t="shared" si="32"/>
        <v>0.24978279756733276</v>
      </c>
      <c r="BB30" s="26">
        <f t="shared" si="8"/>
        <v>1</v>
      </c>
      <c r="BC30" s="26">
        <f t="shared" si="33"/>
        <v>0</v>
      </c>
      <c r="BD30" s="26">
        <f t="shared" si="34"/>
        <v>0</v>
      </c>
      <c r="BE30" s="32">
        <f t="shared" si="35"/>
        <v>0</v>
      </c>
      <c r="BF30" s="29">
        <f t="shared" si="48"/>
        <v>0</v>
      </c>
      <c r="BG30" s="26">
        <f t="shared" si="17"/>
        <v>1</v>
      </c>
      <c r="BH30" s="26">
        <f t="shared" si="49"/>
        <v>2499</v>
      </c>
      <c r="BI30" s="42">
        <f t="shared" si="50"/>
        <v>5.2730869262610447E-2</v>
      </c>
      <c r="BJ30" s="28">
        <f t="shared" si="51"/>
        <v>0.21063042602293125</v>
      </c>
      <c r="BK30" s="26">
        <f t="shared" si="36"/>
        <v>0</v>
      </c>
      <c r="BL30" s="26">
        <f t="shared" si="37"/>
        <v>0</v>
      </c>
      <c r="BM30" s="26">
        <f t="shared" si="38"/>
        <v>0</v>
      </c>
      <c r="BN30" s="32">
        <f t="shared" si="39"/>
        <v>0</v>
      </c>
    </row>
    <row r="31" spans="21:66" x14ac:dyDescent="0.3">
      <c r="U31">
        <v>249</v>
      </c>
      <c r="V31" s="31">
        <f t="shared" si="18"/>
        <v>1.0080321285140563</v>
      </c>
      <c r="W31" s="26">
        <f t="shared" si="9"/>
        <v>1</v>
      </c>
      <c r="X31" s="26">
        <f t="shared" si="10"/>
        <v>749</v>
      </c>
      <c r="Y31" s="42">
        <f t="shared" si="11"/>
        <v>6.6378880520639214E-2</v>
      </c>
      <c r="Z31" s="28">
        <f t="shared" si="12"/>
        <v>0.31037604639567534</v>
      </c>
      <c r="AA31" s="26">
        <f t="shared" si="13"/>
        <v>0</v>
      </c>
      <c r="AB31" s="26">
        <f t="shared" si="19"/>
        <v>0</v>
      </c>
      <c r="AC31" s="26">
        <f t="shared" si="14"/>
        <v>0</v>
      </c>
      <c r="AD31" s="32">
        <f t="shared" si="15"/>
        <v>0</v>
      </c>
      <c r="AE31" s="31">
        <f t="shared" si="20"/>
        <v>1.0040160642570282</v>
      </c>
      <c r="AF31" s="26">
        <f t="shared" si="21"/>
        <v>1</v>
      </c>
      <c r="AG31" s="26">
        <f t="shared" si="40"/>
        <v>1248</v>
      </c>
      <c r="AH31" s="42">
        <f t="shared" si="22"/>
        <v>3.6361708894307149E-2</v>
      </c>
      <c r="AI31" s="28">
        <f t="shared" si="23"/>
        <v>0.20677409095727764</v>
      </c>
      <c r="AJ31" s="26">
        <f t="shared" si="24"/>
        <v>0</v>
      </c>
      <c r="AK31" s="26">
        <f t="shared" si="25"/>
        <v>0</v>
      </c>
      <c r="AL31" s="26">
        <f t="shared" si="26"/>
        <v>1</v>
      </c>
      <c r="AM31" s="32">
        <f t="shared" si="27"/>
        <v>0</v>
      </c>
      <c r="AN31" s="31">
        <f t="shared" si="43"/>
        <v>1.0120481927710843</v>
      </c>
      <c r="AO31" s="26">
        <f t="shared" si="41"/>
        <v>1</v>
      </c>
      <c r="AP31" s="26">
        <f t="shared" si="44"/>
        <v>1749</v>
      </c>
      <c r="AQ31" s="42">
        <f t="shared" si="42"/>
        <v>9.0355146201182526E-2</v>
      </c>
      <c r="AR31" s="28">
        <f t="shared" si="7"/>
        <v>0.15523066403893335</v>
      </c>
      <c r="AS31" s="26">
        <f t="shared" si="28"/>
        <v>0</v>
      </c>
      <c r="AT31" s="26">
        <f t="shared" si="29"/>
        <v>0</v>
      </c>
      <c r="AU31" s="26">
        <f t="shared" si="30"/>
        <v>0</v>
      </c>
      <c r="AV31" s="32">
        <f t="shared" si="31"/>
        <v>0</v>
      </c>
      <c r="AW31" s="31">
        <f t="shared" si="46"/>
        <v>4.0160642570281121E-3</v>
      </c>
      <c r="AX31" s="26">
        <f t="shared" si="16"/>
        <v>1</v>
      </c>
      <c r="AY31" s="26">
        <f t="shared" si="47"/>
        <v>1999</v>
      </c>
      <c r="AZ31" s="42">
        <f t="shared" si="45"/>
        <v>1.3683753258035996E-3</v>
      </c>
      <c r="BA31" s="28">
        <f t="shared" si="32"/>
        <v>0.12439183318853171</v>
      </c>
      <c r="BB31" s="26">
        <f t="shared" si="8"/>
        <v>1</v>
      </c>
      <c r="BC31" s="26">
        <f t="shared" si="33"/>
        <v>0</v>
      </c>
      <c r="BD31" s="26">
        <f t="shared" si="34"/>
        <v>0</v>
      </c>
      <c r="BE31" s="32">
        <f t="shared" si="35"/>
        <v>0</v>
      </c>
      <c r="BF31" s="29">
        <f t="shared" si="48"/>
        <v>0</v>
      </c>
      <c r="BG31" s="26">
        <f t="shared" si="17"/>
        <v>1</v>
      </c>
      <c r="BH31" s="26">
        <f t="shared" si="49"/>
        <v>2248</v>
      </c>
      <c r="BI31" s="42">
        <f t="shared" si="50"/>
        <v>5.3005604600901042E-2</v>
      </c>
      <c r="BJ31" s="28">
        <f t="shared" si="51"/>
        <v>0.10489395215941977</v>
      </c>
      <c r="BK31" s="26">
        <f t="shared" si="36"/>
        <v>0</v>
      </c>
      <c r="BL31" s="26">
        <f t="shared" si="37"/>
        <v>0</v>
      </c>
      <c r="BM31" s="26">
        <f t="shared" si="38"/>
        <v>1</v>
      </c>
      <c r="BN31" s="32">
        <f t="shared" si="39"/>
        <v>0</v>
      </c>
    </row>
    <row r="32" spans="21:66" x14ac:dyDescent="0.3">
      <c r="U32">
        <v>250</v>
      </c>
      <c r="V32" s="31">
        <f t="shared" si="18"/>
        <v>4.0000000000000001E-3</v>
      </c>
      <c r="W32" s="26">
        <f t="shared" si="9"/>
        <v>1</v>
      </c>
      <c r="X32" s="26">
        <f t="shared" si="10"/>
        <v>499</v>
      </c>
      <c r="Y32" s="42">
        <f t="shared" si="11"/>
        <v>0.37800141706248191</v>
      </c>
      <c r="Z32" s="28">
        <f t="shared" si="12"/>
        <v>0.31162253654184274</v>
      </c>
      <c r="AA32" s="26">
        <f t="shared" si="13"/>
        <v>0</v>
      </c>
      <c r="AB32" s="26">
        <f t="shared" si="19"/>
        <v>0</v>
      </c>
      <c r="AC32" s="26">
        <f t="shared" si="14"/>
        <v>0</v>
      </c>
      <c r="AD32" s="32">
        <f t="shared" si="15"/>
        <v>0</v>
      </c>
      <c r="AE32" s="31">
        <f t="shared" si="20"/>
        <v>1</v>
      </c>
      <c r="AF32" s="26">
        <f t="shared" si="21"/>
        <v>1</v>
      </c>
      <c r="AG32" s="26">
        <f t="shared" si="40"/>
        <v>999</v>
      </c>
      <c r="AH32" s="42">
        <f t="shared" si="22"/>
        <v>0.17041238206297049</v>
      </c>
      <c r="AI32" s="28">
        <f t="shared" si="23"/>
        <v>0.20760450899325064</v>
      </c>
      <c r="AJ32" s="26">
        <f t="shared" si="24"/>
        <v>0</v>
      </c>
      <c r="AK32" s="26">
        <f t="shared" si="25"/>
        <v>0</v>
      </c>
      <c r="AL32" s="26">
        <f t="shared" si="26"/>
        <v>1</v>
      </c>
      <c r="AM32" s="32">
        <f t="shared" si="27"/>
        <v>0</v>
      </c>
      <c r="AN32" s="31">
        <f t="shared" si="43"/>
        <v>0.996</v>
      </c>
      <c r="AO32" s="26">
        <f t="shared" si="41"/>
        <v>1</v>
      </c>
      <c r="AP32" s="26">
        <f t="shared" si="44"/>
        <v>1498</v>
      </c>
      <c r="AQ32" s="42">
        <f t="shared" si="42"/>
        <v>6.6122350480633835E-2</v>
      </c>
      <c r="AR32" s="28">
        <f t="shared" si="7"/>
        <v>0.15585408036037485</v>
      </c>
      <c r="AS32" s="26">
        <f t="shared" si="28"/>
        <v>0</v>
      </c>
      <c r="AT32" s="26">
        <f t="shared" si="29"/>
        <v>0</v>
      </c>
      <c r="AU32" s="26">
        <f t="shared" si="30"/>
        <v>0</v>
      </c>
      <c r="AV32" s="32">
        <f t="shared" si="31"/>
        <v>0</v>
      </c>
      <c r="AW32" s="31">
        <f t="shared" si="46"/>
        <v>1.004</v>
      </c>
      <c r="AX32" s="26">
        <f t="shared" si="16"/>
        <v>0</v>
      </c>
      <c r="AY32" s="26">
        <f t="shared" si="47"/>
        <v>1999</v>
      </c>
      <c r="AZ32" s="42">
        <f t="shared" si="45"/>
        <v>1.3683753258035996E-3</v>
      </c>
      <c r="BA32" s="28">
        <f t="shared" si="32"/>
        <v>0.12489139878366638</v>
      </c>
      <c r="BB32" s="26">
        <f t="shared" si="8"/>
        <v>1</v>
      </c>
      <c r="BC32" s="26">
        <f t="shared" si="33"/>
        <v>0</v>
      </c>
      <c r="BD32" s="26">
        <f t="shared" si="34"/>
        <v>0</v>
      </c>
      <c r="BE32" s="32">
        <f t="shared" si="35"/>
        <v>0</v>
      </c>
      <c r="BF32" s="29">
        <f t="shared" si="48"/>
        <v>0</v>
      </c>
      <c r="BG32" s="26">
        <f t="shared" si="17"/>
        <v>1</v>
      </c>
      <c r="BH32" s="26">
        <f t="shared" si="49"/>
        <v>2249</v>
      </c>
      <c r="BI32" s="42">
        <f t="shared" si="50"/>
        <v>5.2584343748855185E-2</v>
      </c>
      <c r="BJ32" s="28">
        <f t="shared" si="51"/>
        <v>0.10531521301146562</v>
      </c>
      <c r="BK32" s="26">
        <f t="shared" si="36"/>
        <v>0</v>
      </c>
      <c r="BL32" s="26">
        <f t="shared" si="37"/>
        <v>0</v>
      </c>
      <c r="BM32" s="26">
        <f t="shared" si="38"/>
        <v>1</v>
      </c>
      <c r="BN32" s="32">
        <f t="shared" si="39"/>
        <v>0</v>
      </c>
    </row>
    <row r="33" spans="21:66" x14ac:dyDescent="0.3">
      <c r="U33">
        <v>501</v>
      </c>
      <c r="V33" s="31">
        <f t="shared" si="18"/>
        <v>0.50099800399201599</v>
      </c>
      <c r="W33" s="26">
        <f t="shared" si="9"/>
        <v>1</v>
      </c>
      <c r="X33" s="26">
        <f t="shared" si="10"/>
        <v>751</v>
      </c>
      <c r="Y33" s="42">
        <f t="shared" si="11"/>
        <v>6.3885900228304468E-2</v>
      </c>
      <c r="Z33" s="28">
        <f t="shared" si="12"/>
        <v>0.62449156322985278</v>
      </c>
      <c r="AA33" s="26">
        <f t="shared" si="13"/>
        <v>0</v>
      </c>
      <c r="AB33" s="26">
        <f t="shared" si="19"/>
        <v>0</v>
      </c>
      <c r="AC33" s="26">
        <f t="shared" si="14"/>
        <v>0</v>
      </c>
      <c r="AD33" s="32">
        <f t="shared" si="15"/>
        <v>0</v>
      </c>
      <c r="AE33" s="31">
        <f t="shared" si="20"/>
        <v>0.50299401197604787</v>
      </c>
      <c r="AF33" s="26">
        <f t="shared" si="21"/>
        <v>1</v>
      </c>
      <c r="AG33" s="26">
        <f t="shared" si="40"/>
        <v>1000</v>
      </c>
      <c r="AH33" s="42">
        <f t="shared" si="22"/>
        <v>0.16958196402699749</v>
      </c>
      <c r="AI33" s="28">
        <f t="shared" si="23"/>
        <v>0.41603943602247428</v>
      </c>
      <c r="AJ33" s="26">
        <f t="shared" si="24"/>
        <v>0</v>
      </c>
      <c r="AK33" s="26">
        <f t="shared" si="25"/>
        <v>0</v>
      </c>
      <c r="AL33" s="26">
        <f t="shared" si="26"/>
        <v>0</v>
      </c>
      <c r="AM33" s="32">
        <f t="shared" si="27"/>
        <v>0</v>
      </c>
      <c r="AN33" s="31">
        <f t="shared" si="43"/>
        <v>1.996007984031936E-3</v>
      </c>
      <c r="AO33" s="26">
        <f t="shared" si="41"/>
        <v>1</v>
      </c>
      <c r="AP33" s="26">
        <f t="shared" si="44"/>
        <v>1500</v>
      </c>
      <c r="AQ33" s="42">
        <f t="shared" si="42"/>
        <v>6.4875517837750835E-2</v>
      </c>
      <c r="AR33" s="28">
        <f t="shared" si="7"/>
        <v>0.31233157704219122</v>
      </c>
      <c r="AS33" s="26">
        <f t="shared" si="28"/>
        <v>0</v>
      </c>
      <c r="AT33" s="26">
        <f t="shared" si="29"/>
        <v>0</v>
      </c>
      <c r="AU33" s="26">
        <f t="shared" si="30"/>
        <v>0</v>
      </c>
      <c r="AV33" s="32">
        <f t="shared" si="31"/>
        <v>0</v>
      </c>
      <c r="AW33" s="31">
        <f t="shared" si="46"/>
        <v>3.9920159680638719E-3</v>
      </c>
      <c r="AX33" s="26">
        <f t="shared" si="16"/>
        <v>1</v>
      </c>
      <c r="AY33" s="26">
        <f t="shared" si="47"/>
        <v>1999</v>
      </c>
      <c r="AZ33" s="42">
        <f t="shared" si="45"/>
        <v>1.3683753258035996E-3</v>
      </c>
      <c r="BA33" s="28">
        <f t="shared" si="32"/>
        <v>0.25028236316246744</v>
      </c>
      <c r="BB33" s="26">
        <f t="shared" si="8"/>
        <v>1</v>
      </c>
      <c r="BC33" s="26">
        <f t="shared" si="33"/>
        <v>0</v>
      </c>
      <c r="BD33" s="26">
        <f t="shared" si="34"/>
        <v>0</v>
      </c>
      <c r="BE33" s="32">
        <f t="shared" si="35"/>
        <v>0</v>
      </c>
      <c r="BF33" s="29">
        <f t="shared" si="48"/>
        <v>0</v>
      </c>
      <c r="BG33" s="26">
        <f t="shared" si="17"/>
        <v>1</v>
      </c>
      <c r="BH33" s="26">
        <f t="shared" si="49"/>
        <v>2500</v>
      </c>
      <c r="BI33" s="42">
        <f t="shared" si="50"/>
        <v>5.3152130114656311E-2</v>
      </c>
      <c r="BJ33" s="28">
        <f t="shared" si="51"/>
        <v>0.21105168687497713</v>
      </c>
      <c r="BK33" s="26">
        <f t="shared" si="36"/>
        <v>0</v>
      </c>
      <c r="BL33" s="26">
        <f t="shared" si="37"/>
        <v>0</v>
      </c>
      <c r="BM33" s="26">
        <f t="shared" si="38"/>
        <v>0</v>
      </c>
      <c r="BN33" s="32">
        <f t="shared" si="39"/>
        <v>0</v>
      </c>
    </row>
    <row r="34" spans="21:66" x14ac:dyDescent="0.3">
      <c r="U34" s="1">
        <v>499</v>
      </c>
      <c r="V34" s="31">
        <f t="shared" si="18"/>
        <v>4.0080160320641279E-3</v>
      </c>
      <c r="W34" s="26">
        <f t="shared" si="9"/>
        <v>1</v>
      </c>
      <c r="X34" s="26">
        <f t="shared" si="10"/>
        <v>1000</v>
      </c>
      <c r="Y34" s="42">
        <f t="shared" si="11"/>
        <v>0.24649014616737089</v>
      </c>
      <c r="Z34" s="28">
        <f t="shared" si="12"/>
        <v>0.62199858293751809</v>
      </c>
      <c r="AA34" s="26">
        <f t="shared" si="13"/>
        <v>0</v>
      </c>
      <c r="AB34" s="26">
        <f t="shared" si="19"/>
        <v>0</v>
      </c>
      <c r="AC34" s="26">
        <f t="shared" si="14"/>
        <v>0</v>
      </c>
      <c r="AD34" s="32">
        <f t="shared" si="15"/>
        <v>0</v>
      </c>
      <c r="AE34" s="31">
        <f t="shared" si="20"/>
        <v>0.49899799599198397</v>
      </c>
      <c r="AF34" s="26">
        <f t="shared" si="21"/>
        <v>1</v>
      </c>
      <c r="AG34" s="26">
        <f t="shared" si="40"/>
        <v>1250</v>
      </c>
      <c r="AH34" s="42">
        <f t="shared" si="22"/>
        <v>3.8022544966253152E-2</v>
      </c>
      <c r="AI34" s="28">
        <f t="shared" si="23"/>
        <v>0.41437859995052828</v>
      </c>
      <c r="AJ34" s="26">
        <f t="shared" si="24"/>
        <v>0</v>
      </c>
      <c r="AK34" s="26">
        <f t="shared" si="25"/>
        <v>0</v>
      </c>
      <c r="AL34" s="26">
        <f t="shared" si="26"/>
        <v>0</v>
      </c>
      <c r="AM34" s="32">
        <f t="shared" si="27"/>
        <v>0</v>
      </c>
      <c r="AN34" s="31">
        <f t="shared" si="43"/>
        <v>0.50100200400801598</v>
      </c>
      <c r="AO34" s="26">
        <f t="shared" si="41"/>
        <v>1</v>
      </c>
      <c r="AP34" s="26">
        <f t="shared" si="44"/>
        <v>1499</v>
      </c>
      <c r="AQ34" s="42">
        <f t="shared" si="42"/>
        <v>6.5498934159192335E-2</v>
      </c>
      <c r="AR34" s="28">
        <f t="shared" si="7"/>
        <v>0.31108474439930822</v>
      </c>
      <c r="AS34" s="26">
        <f t="shared" si="28"/>
        <v>0</v>
      </c>
      <c r="AT34" s="26">
        <f t="shared" si="29"/>
        <v>0</v>
      </c>
      <c r="AU34" s="26">
        <f t="shared" si="30"/>
        <v>0</v>
      </c>
      <c r="AV34" s="32">
        <f t="shared" si="31"/>
        <v>0</v>
      </c>
      <c r="AW34" s="31">
        <f t="shared" si="46"/>
        <v>2.004008016032064E-3</v>
      </c>
      <c r="AX34" s="26">
        <f t="shared" si="16"/>
        <v>1</v>
      </c>
      <c r="AY34" s="26">
        <f t="shared" si="47"/>
        <v>1999</v>
      </c>
      <c r="AZ34" s="42">
        <f t="shared" si="45"/>
        <v>1.3683753258035996E-3</v>
      </c>
      <c r="BA34" s="28">
        <f t="shared" si="32"/>
        <v>0.24928323197219809</v>
      </c>
      <c r="BB34" s="26">
        <f t="shared" si="8"/>
        <v>1</v>
      </c>
      <c r="BC34" s="26">
        <f t="shared" si="33"/>
        <v>0</v>
      </c>
      <c r="BD34" s="26">
        <f t="shared" si="34"/>
        <v>0</v>
      </c>
      <c r="BE34" s="32">
        <f t="shared" si="35"/>
        <v>0</v>
      </c>
      <c r="BF34" s="29">
        <f t="shared" si="48"/>
        <v>0</v>
      </c>
      <c r="BG34" s="26">
        <f t="shared" si="17"/>
        <v>1</v>
      </c>
      <c r="BH34" s="26">
        <f t="shared" si="49"/>
        <v>2498</v>
      </c>
      <c r="BI34" s="42">
        <f t="shared" si="50"/>
        <v>5.2309608410564583E-2</v>
      </c>
      <c r="BJ34" s="28">
        <f t="shared" si="51"/>
        <v>0.21020916517088539</v>
      </c>
      <c r="BK34" s="26">
        <f t="shared" si="36"/>
        <v>0</v>
      </c>
      <c r="BL34" s="26">
        <f t="shared" si="37"/>
        <v>0</v>
      </c>
      <c r="BM34" s="26">
        <f t="shared" si="38"/>
        <v>0</v>
      </c>
      <c r="BN34" s="32">
        <f t="shared" si="39"/>
        <v>0</v>
      </c>
    </row>
    <row r="35" spans="21:66" x14ac:dyDescent="0.3">
      <c r="U35">
        <v>500</v>
      </c>
      <c r="V35" s="31">
        <f t="shared" si="18"/>
        <v>2E-3</v>
      </c>
      <c r="W35" s="26">
        <f t="shared" si="9"/>
        <v>1</v>
      </c>
      <c r="X35" s="26">
        <f t="shared" si="10"/>
        <v>999</v>
      </c>
      <c r="Y35" s="42">
        <f t="shared" si="11"/>
        <v>0.24524365602120352</v>
      </c>
      <c r="Z35" s="28">
        <f t="shared" si="12"/>
        <v>0.62324507308368549</v>
      </c>
      <c r="AA35" s="26">
        <f t="shared" si="13"/>
        <v>0</v>
      </c>
      <c r="AB35" s="26">
        <f t="shared" si="19"/>
        <v>0</v>
      </c>
      <c r="AC35" s="26">
        <f t="shared" si="14"/>
        <v>0</v>
      </c>
      <c r="AD35" s="32">
        <f t="shared" si="15"/>
        <v>0</v>
      </c>
      <c r="AE35" s="31">
        <f t="shared" si="20"/>
        <v>2E-3</v>
      </c>
      <c r="AF35" s="26">
        <f t="shared" si="21"/>
        <v>1</v>
      </c>
      <c r="AG35" s="26">
        <f t="shared" si="40"/>
        <v>1500</v>
      </c>
      <c r="AH35" s="42">
        <f t="shared" si="22"/>
        <v>0.24562705395950379</v>
      </c>
      <c r="AI35" s="28">
        <f t="shared" si="23"/>
        <v>0.41520901798650128</v>
      </c>
      <c r="AJ35" s="26">
        <f t="shared" si="24"/>
        <v>0</v>
      </c>
      <c r="AK35" s="26">
        <f t="shared" si="25"/>
        <v>0</v>
      </c>
      <c r="AL35" s="26">
        <f t="shared" si="26"/>
        <v>0</v>
      </c>
      <c r="AM35" s="32">
        <f t="shared" si="27"/>
        <v>0</v>
      </c>
      <c r="AN35" s="31">
        <f t="shared" si="43"/>
        <v>0.5</v>
      </c>
      <c r="AO35" s="26">
        <f t="shared" si="41"/>
        <v>1</v>
      </c>
      <c r="AP35" s="26">
        <f t="shared" si="44"/>
        <v>1750</v>
      </c>
      <c r="AQ35" s="42">
        <f t="shared" si="42"/>
        <v>9.0978562522624012E-2</v>
      </c>
      <c r="AR35" s="28">
        <f t="shared" si="7"/>
        <v>0.31170816072074969</v>
      </c>
      <c r="AS35" s="26">
        <f t="shared" si="28"/>
        <v>0</v>
      </c>
      <c r="AT35" s="26">
        <f t="shared" si="29"/>
        <v>0</v>
      </c>
      <c r="AU35" s="26">
        <f t="shared" si="30"/>
        <v>0</v>
      </c>
      <c r="AV35" s="32">
        <f t="shared" si="31"/>
        <v>0</v>
      </c>
      <c r="AW35" s="31">
        <f t="shared" si="46"/>
        <v>0.502</v>
      </c>
      <c r="AX35" s="26">
        <f t="shared" si="16"/>
        <v>0</v>
      </c>
      <c r="AY35" s="26">
        <f t="shared" si="47"/>
        <v>1999</v>
      </c>
      <c r="AZ35" s="42">
        <f t="shared" si="45"/>
        <v>1.3683753258035996E-3</v>
      </c>
      <c r="BA35" s="28">
        <f t="shared" si="32"/>
        <v>0.24978279756733276</v>
      </c>
      <c r="BB35" s="26">
        <f t="shared" si="8"/>
        <v>1</v>
      </c>
      <c r="BC35" s="26">
        <f t="shared" si="33"/>
        <v>0</v>
      </c>
      <c r="BD35" s="26">
        <f t="shared" si="34"/>
        <v>0</v>
      </c>
      <c r="BE35" s="32">
        <f t="shared" si="35"/>
        <v>0</v>
      </c>
      <c r="BF35" s="29">
        <f t="shared" si="48"/>
        <v>0</v>
      </c>
      <c r="BG35" s="26">
        <f t="shared" si="17"/>
        <v>1</v>
      </c>
      <c r="BH35" s="26">
        <f t="shared" si="49"/>
        <v>2499</v>
      </c>
      <c r="BI35" s="42">
        <f t="shared" si="50"/>
        <v>5.2730869262610447E-2</v>
      </c>
      <c r="BJ35" s="28">
        <f t="shared" si="51"/>
        <v>0.21063042602293125</v>
      </c>
      <c r="BK35" s="26">
        <f t="shared" si="36"/>
        <v>0</v>
      </c>
      <c r="BL35" s="26">
        <f t="shared" si="37"/>
        <v>0</v>
      </c>
      <c r="BM35" s="26">
        <f t="shared" si="38"/>
        <v>0</v>
      </c>
      <c r="BN35" s="32">
        <f t="shared" si="39"/>
        <v>0</v>
      </c>
    </row>
    <row r="36" spans="21:66" x14ac:dyDescent="0.3">
      <c r="U36">
        <v>249</v>
      </c>
      <c r="V36" s="31">
        <f t="shared" si="18"/>
        <v>1.0080321285140563</v>
      </c>
      <c r="W36" s="26">
        <f t="shared" si="9"/>
        <v>1</v>
      </c>
      <c r="X36" s="26">
        <f t="shared" si="10"/>
        <v>749</v>
      </c>
      <c r="Y36" s="42">
        <f t="shared" si="11"/>
        <v>6.6378880520639214E-2</v>
      </c>
      <c r="Z36" s="28">
        <f t="shared" si="12"/>
        <v>0.31037604639567534</v>
      </c>
      <c r="AA36" s="26">
        <f t="shared" si="13"/>
        <v>0</v>
      </c>
      <c r="AB36" s="26">
        <f t="shared" si="19"/>
        <v>0</v>
      </c>
      <c r="AC36" s="26">
        <f t="shared" si="14"/>
        <v>0</v>
      </c>
      <c r="AD36" s="32">
        <f t="shared" si="15"/>
        <v>0</v>
      </c>
      <c r="AE36" s="31">
        <f t="shared" si="20"/>
        <v>1.0040160642570282</v>
      </c>
      <c r="AF36" s="26">
        <f t="shared" si="21"/>
        <v>1</v>
      </c>
      <c r="AG36" s="26">
        <f t="shared" si="40"/>
        <v>1248</v>
      </c>
      <c r="AH36" s="42">
        <f t="shared" si="22"/>
        <v>3.6361708894307149E-2</v>
      </c>
      <c r="AI36" s="28">
        <f t="shared" si="23"/>
        <v>0.20677409095727764</v>
      </c>
      <c r="AJ36" s="26">
        <f t="shared" si="24"/>
        <v>0</v>
      </c>
      <c r="AK36" s="26">
        <f t="shared" si="25"/>
        <v>0</v>
      </c>
      <c r="AL36" s="26">
        <f t="shared" si="26"/>
        <v>1</v>
      </c>
      <c r="AM36" s="32">
        <f t="shared" si="27"/>
        <v>0</v>
      </c>
      <c r="AN36" s="31">
        <f t="shared" si="43"/>
        <v>1.0120481927710843</v>
      </c>
      <c r="AO36" s="26">
        <f t="shared" si="41"/>
        <v>1</v>
      </c>
      <c r="AP36" s="26">
        <f t="shared" si="44"/>
        <v>1749</v>
      </c>
      <c r="AQ36" s="42">
        <f t="shared" si="42"/>
        <v>9.0355146201182526E-2</v>
      </c>
      <c r="AR36" s="28">
        <f t="shared" si="7"/>
        <v>0.15523066403893335</v>
      </c>
      <c r="AS36" s="26">
        <f t="shared" si="28"/>
        <v>0</v>
      </c>
      <c r="AT36" s="26">
        <f t="shared" si="29"/>
        <v>0</v>
      </c>
      <c r="AU36" s="26">
        <f t="shared" si="30"/>
        <v>0</v>
      </c>
      <c r="AV36" s="32">
        <f t="shared" si="31"/>
        <v>0</v>
      </c>
      <c r="AW36" s="31">
        <f t="shared" si="46"/>
        <v>4.0160642570281121E-3</v>
      </c>
      <c r="AX36" s="26">
        <f t="shared" si="16"/>
        <v>1</v>
      </c>
      <c r="AY36" s="26">
        <f t="shared" si="47"/>
        <v>1999</v>
      </c>
      <c r="AZ36" s="42">
        <f t="shared" si="45"/>
        <v>1.3683753258035996E-3</v>
      </c>
      <c r="BA36" s="28">
        <f t="shared" si="32"/>
        <v>0.12439183318853171</v>
      </c>
      <c r="BB36" s="26">
        <f t="shared" si="8"/>
        <v>1</v>
      </c>
      <c r="BC36" s="26">
        <f t="shared" si="33"/>
        <v>0</v>
      </c>
      <c r="BD36" s="26">
        <f t="shared" si="34"/>
        <v>0</v>
      </c>
      <c r="BE36" s="32">
        <f t="shared" si="35"/>
        <v>0</v>
      </c>
      <c r="BF36" s="29">
        <f t="shared" si="48"/>
        <v>0</v>
      </c>
      <c r="BG36" s="26">
        <f t="shared" si="17"/>
        <v>1</v>
      </c>
      <c r="BH36" s="26">
        <f t="shared" si="49"/>
        <v>2248</v>
      </c>
      <c r="BI36" s="42">
        <f t="shared" si="50"/>
        <v>5.3005604600901042E-2</v>
      </c>
      <c r="BJ36" s="28">
        <f t="shared" si="51"/>
        <v>0.10489395215941977</v>
      </c>
      <c r="BK36" s="26">
        <f t="shared" si="36"/>
        <v>0</v>
      </c>
      <c r="BL36" s="26">
        <f t="shared" si="37"/>
        <v>0</v>
      </c>
      <c r="BM36" s="26">
        <f t="shared" si="38"/>
        <v>1</v>
      </c>
      <c r="BN36" s="32">
        <f t="shared" si="39"/>
        <v>0</v>
      </c>
    </row>
    <row r="37" spans="21:66" x14ac:dyDescent="0.3">
      <c r="U37">
        <v>250</v>
      </c>
      <c r="V37" s="31">
        <f t="shared" si="18"/>
        <v>4.0000000000000001E-3</v>
      </c>
      <c r="W37" s="26">
        <f t="shared" si="9"/>
        <v>1</v>
      </c>
      <c r="X37" s="26">
        <f t="shared" si="10"/>
        <v>499</v>
      </c>
      <c r="Y37" s="42">
        <f t="shared" si="11"/>
        <v>0.37800141706248191</v>
      </c>
      <c r="Z37" s="28">
        <f t="shared" si="12"/>
        <v>0.31162253654184274</v>
      </c>
      <c r="AA37" s="26">
        <f t="shared" si="13"/>
        <v>0</v>
      </c>
      <c r="AB37" s="26">
        <f t="shared" si="19"/>
        <v>0</v>
      </c>
      <c r="AC37" s="26">
        <f t="shared" si="14"/>
        <v>0</v>
      </c>
      <c r="AD37" s="32">
        <f t="shared" si="15"/>
        <v>0</v>
      </c>
      <c r="AE37" s="31">
        <f t="shared" si="20"/>
        <v>1</v>
      </c>
      <c r="AF37" s="26">
        <f t="shared" si="21"/>
        <v>1</v>
      </c>
      <c r="AG37" s="26">
        <f t="shared" si="40"/>
        <v>999</v>
      </c>
      <c r="AH37" s="42">
        <f t="shared" si="22"/>
        <v>0.17041238206297049</v>
      </c>
      <c r="AI37" s="28">
        <f t="shared" si="23"/>
        <v>0.20760450899325064</v>
      </c>
      <c r="AJ37" s="26">
        <f t="shared" si="24"/>
        <v>0</v>
      </c>
      <c r="AK37" s="26">
        <f t="shared" si="25"/>
        <v>0</v>
      </c>
      <c r="AL37" s="26">
        <f t="shared" si="26"/>
        <v>1</v>
      </c>
      <c r="AM37" s="32">
        <f t="shared" si="27"/>
        <v>0</v>
      </c>
      <c r="AN37" s="31">
        <f t="shared" si="43"/>
        <v>0.996</v>
      </c>
      <c r="AO37" s="26">
        <f t="shared" si="41"/>
        <v>1</v>
      </c>
      <c r="AP37" s="26">
        <f t="shared" si="44"/>
        <v>1498</v>
      </c>
      <c r="AQ37" s="42">
        <f t="shared" si="42"/>
        <v>6.6122350480633835E-2</v>
      </c>
      <c r="AR37" s="28">
        <f t="shared" si="7"/>
        <v>0.15585408036037485</v>
      </c>
      <c r="AS37" s="26">
        <f t="shared" si="28"/>
        <v>0</v>
      </c>
      <c r="AT37" s="26">
        <f t="shared" si="29"/>
        <v>0</v>
      </c>
      <c r="AU37" s="26">
        <f t="shared" si="30"/>
        <v>0</v>
      </c>
      <c r="AV37" s="32">
        <f t="shared" si="31"/>
        <v>0</v>
      </c>
      <c r="AW37" s="31">
        <f t="shared" si="46"/>
        <v>1.004</v>
      </c>
      <c r="AX37" s="26">
        <f t="shared" si="16"/>
        <v>0</v>
      </c>
      <c r="AY37" s="26">
        <f t="shared" si="47"/>
        <v>1999</v>
      </c>
      <c r="AZ37" s="42">
        <f t="shared" si="45"/>
        <v>1.3683753258035996E-3</v>
      </c>
      <c r="BA37" s="28">
        <f t="shared" si="32"/>
        <v>0.12489139878366638</v>
      </c>
      <c r="BB37" s="26">
        <f t="shared" si="8"/>
        <v>1</v>
      </c>
      <c r="BC37" s="26">
        <f t="shared" si="33"/>
        <v>0</v>
      </c>
      <c r="BD37" s="26">
        <f t="shared" si="34"/>
        <v>0</v>
      </c>
      <c r="BE37" s="32">
        <f t="shared" si="35"/>
        <v>0</v>
      </c>
      <c r="BF37" s="29">
        <f t="shared" si="48"/>
        <v>0</v>
      </c>
      <c r="BG37" s="26">
        <f t="shared" si="17"/>
        <v>1</v>
      </c>
      <c r="BH37" s="26">
        <f t="shared" si="49"/>
        <v>2249</v>
      </c>
      <c r="BI37" s="42">
        <f t="shared" si="50"/>
        <v>5.2584343748855185E-2</v>
      </c>
      <c r="BJ37" s="28">
        <f t="shared" si="51"/>
        <v>0.10531521301146562</v>
      </c>
      <c r="BK37" s="26">
        <f t="shared" si="36"/>
        <v>0</v>
      </c>
      <c r="BL37" s="26">
        <f t="shared" si="37"/>
        <v>0</v>
      </c>
      <c r="BM37" s="26">
        <f t="shared" si="38"/>
        <v>1</v>
      </c>
      <c r="BN37" s="32">
        <f t="shared" si="39"/>
        <v>0</v>
      </c>
    </row>
    <row r="38" spans="21:66" x14ac:dyDescent="0.3">
      <c r="U38">
        <v>501</v>
      </c>
      <c r="V38" s="31">
        <f t="shared" si="18"/>
        <v>0.50099800399201599</v>
      </c>
      <c r="W38" s="26">
        <f t="shared" si="9"/>
        <v>1</v>
      </c>
      <c r="X38" s="26">
        <f t="shared" si="10"/>
        <v>751</v>
      </c>
      <c r="Y38" s="42">
        <f t="shared" si="11"/>
        <v>6.3885900228304468E-2</v>
      </c>
      <c r="Z38" s="28">
        <f t="shared" si="12"/>
        <v>0.62449156322985278</v>
      </c>
      <c r="AA38" s="26">
        <f t="shared" si="13"/>
        <v>0</v>
      </c>
      <c r="AB38" s="26">
        <f t="shared" si="19"/>
        <v>0</v>
      </c>
      <c r="AC38" s="26">
        <f t="shared" si="14"/>
        <v>0</v>
      </c>
      <c r="AD38" s="32">
        <f t="shared" si="15"/>
        <v>0</v>
      </c>
      <c r="AE38" s="31">
        <f t="shared" si="20"/>
        <v>0.50299401197604787</v>
      </c>
      <c r="AF38" s="26">
        <f t="shared" si="21"/>
        <v>1</v>
      </c>
      <c r="AG38" s="26">
        <f t="shared" si="40"/>
        <v>1000</v>
      </c>
      <c r="AH38" s="42">
        <f t="shared" si="22"/>
        <v>0.16958196402699749</v>
      </c>
      <c r="AI38" s="28">
        <f t="shared" si="23"/>
        <v>0.41603943602247428</v>
      </c>
      <c r="AJ38" s="26">
        <f t="shared" si="24"/>
        <v>0</v>
      </c>
      <c r="AK38" s="26">
        <f t="shared" si="25"/>
        <v>0</v>
      </c>
      <c r="AL38" s="26">
        <f t="shared" si="26"/>
        <v>0</v>
      </c>
      <c r="AM38" s="32">
        <f t="shared" si="27"/>
        <v>0</v>
      </c>
      <c r="AN38" s="31">
        <f t="shared" si="43"/>
        <v>1.996007984031936E-3</v>
      </c>
      <c r="AO38" s="26">
        <f t="shared" si="41"/>
        <v>1</v>
      </c>
      <c r="AP38" s="26">
        <f t="shared" si="44"/>
        <v>1500</v>
      </c>
      <c r="AQ38" s="42">
        <f t="shared" si="42"/>
        <v>6.4875517837750835E-2</v>
      </c>
      <c r="AR38" s="28">
        <f t="shared" si="7"/>
        <v>0.31233157704219122</v>
      </c>
      <c r="AS38" s="26">
        <f t="shared" si="28"/>
        <v>0</v>
      </c>
      <c r="AT38" s="26">
        <f t="shared" si="29"/>
        <v>0</v>
      </c>
      <c r="AU38" s="26">
        <f t="shared" si="30"/>
        <v>0</v>
      </c>
      <c r="AV38" s="32">
        <f t="shared" si="31"/>
        <v>0</v>
      </c>
      <c r="AW38" s="31">
        <f t="shared" si="46"/>
        <v>3.9920159680638719E-3</v>
      </c>
      <c r="AX38" s="26">
        <f t="shared" si="16"/>
        <v>1</v>
      </c>
      <c r="AY38" s="26">
        <f t="shared" si="47"/>
        <v>1999</v>
      </c>
      <c r="AZ38" s="42">
        <f t="shared" si="45"/>
        <v>1.3683753258035996E-3</v>
      </c>
      <c r="BA38" s="28">
        <f t="shared" si="32"/>
        <v>0.25028236316246744</v>
      </c>
      <c r="BB38" s="26">
        <f t="shared" si="8"/>
        <v>1</v>
      </c>
      <c r="BC38" s="26">
        <f t="shared" si="33"/>
        <v>0</v>
      </c>
      <c r="BD38" s="26">
        <f t="shared" si="34"/>
        <v>0</v>
      </c>
      <c r="BE38" s="32">
        <f t="shared" si="35"/>
        <v>0</v>
      </c>
      <c r="BF38" s="29">
        <f t="shared" si="48"/>
        <v>0</v>
      </c>
      <c r="BG38" s="26">
        <f t="shared" si="17"/>
        <v>1</v>
      </c>
      <c r="BH38" s="26">
        <f t="shared" si="49"/>
        <v>2500</v>
      </c>
      <c r="BI38" s="42">
        <f t="shared" si="50"/>
        <v>5.3152130114656311E-2</v>
      </c>
      <c r="BJ38" s="28">
        <f t="shared" si="51"/>
        <v>0.21105168687497713</v>
      </c>
      <c r="BK38" s="26">
        <f t="shared" si="36"/>
        <v>0</v>
      </c>
      <c r="BL38" s="26">
        <f t="shared" si="37"/>
        <v>0</v>
      </c>
      <c r="BM38" s="26">
        <f t="shared" si="38"/>
        <v>0</v>
      </c>
      <c r="BN38" s="32">
        <f t="shared" si="39"/>
        <v>0</v>
      </c>
    </row>
    <row r="39" spans="21:66" x14ac:dyDescent="0.3">
      <c r="U39" s="1">
        <v>499</v>
      </c>
      <c r="V39" s="31">
        <f t="shared" si="18"/>
        <v>4.0080160320641279E-3</v>
      </c>
      <c r="W39" s="26">
        <f t="shared" si="9"/>
        <v>1</v>
      </c>
      <c r="X39" s="26">
        <f t="shared" si="10"/>
        <v>1000</v>
      </c>
      <c r="Y39" s="42">
        <f t="shared" si="11"/>
        <v>0.24649014616737089</v>
      </c>
      <c r="Z39" s="28">
        <f t="shared" si="12"/>
        <v>0.62199858293751809</v>
      </c>
      <c r="AA39" s="26">
        <f t="shared" si="13"/>
        <v>0</v>
      </c>
      <c r="AB39" s="26">
        <f t="shared" si="19"/>
        <v>0</v>
      </c>
      <c r="AC39" s="26">
        <f t="shared" si="14"/>
        <v>0</v>
      </c>
      <c r="AD39" s="32">
        <f t="shared" si="15"/>
        <v>0</v>
      </c>
      <c r="AE39" s="31">
        <f t="shared" si="20"/>
        <v>0.49899799599198397</v>
      </c>
      <c r="AF39" s="26">
        <f t="shared" si="21"/>
        <v>1</v>
      </c>
      <c r="AG39" s="26">
        <f t="shared" si="40"/>
        <v>1250</v>
      </c>
      <c r="AH39" s="42">
        <f t="shared" si="22"/>
        <v>3.8022544966253152E-2</v>
      </c>
      <c r="AI39" s="28">
        <f t="shared" si="23"/>
        <v>0.41437859995052828</v>
      </c>
      <c r="AJ39" s="26">
        <f t="shared" si="24"/>
        <v>0</v>
      </c>
      <c r="AK39" s="26">
        <f t="shared" si="25"/>
        <v>0</v>
      </c>
      <c r="AL39" s="26">
        <f t="shared" si="26"/>
        <v>0</v>
      </c>
      <c r="AM39" s="32">
        <f t="shared" si="27"/>
        <v>0</v>
      </c>
      <c r="AN39" s="31">
        <f t="shared" si="43"/>
        <v>0.50100200400801598</v>
      </c>
      <c r="AO39" s="26">
        <f t="shared" si="41"/>
        <v>1</v>
      </c>
      <c r="AP39" s="26">
        <f t="shared" si="44"/>
        <v>1499</v>
      </c>
      <c r="AQ39" s="42">
        <f t="shared" si="42"/>
        <v>6.5498934159192335E-2</v>
      </c>
      <c r="AR39" s="28">
        <f t="shared" si="7"/>
        <v>0.31108474439930822</v>
      </c>
      <c r="AS39" s="26">
        <f t="shared" si="28"/>
        <v>0</v>
      </c>
      <c r="AT39" s="26">
        <f t="shared" si="29"/>
        <v>0</v>
      </c>
      <c r="AU39" s="26">
        <f t="shared" si="30"/>
        <v>0</v>
      </c>
      <c r="AV39" s="32">
        <f t="shared" si="31"/>
        <v>0</v>
      </c>
      <c r="AW39" s="31">
        <f t="shared" si="46"/>
        <v>2.004008016032064E-3</v>
      </c>
      <c r="AX39" s="26">
        <f t="shared" si="16"/>
        <v>1</v>
      </c>
      <c r="AY39" s="26">
        <f t="shared" si="47"/>
        <v>1999</v>
      </c>
      <c r="AZ39" s="42">
        <f t="shared" si="45"/>
        <v>1.3683753258035996E-3</v>
      </c>
      <c r="BA39" s="28">
        <f t="shared" si="32"/>
        <v>0.24928323197219809</v>
      </c>
      <c r="BB39" s="26">
        <f t="shared" si="8"/>
        <v>1</v>
      </c>
      <c r="BC39" s="26">
        <f t="shared" si="33"/>
        <v>0</v>
      </c>
      <c r="BD39" s="26">
        <f t="shared" si="34"/>
        <v>0</v>
      </c>
      <c r="BE39" s="32">
        <f t="shared" si="35"/>
        <v>0</v>
      </c>
      <c r="BF39" s="29">
        <f t="shared" si="48"/>
        <v>0</v>
      </c>
      <c r="BG39" s="26">
        <f t="shared" si="17"/>
        <v>1</v>
      </c>
      <c r="BH39" s="26">
        <f t="shared" si="49"/>
        <v>2498</v>
      </c>
      <c r="BI39" s="42">
        <f t="shared" si="50"/>
        <v>5.2309608410564583E-2</v>
      </c>
      <c r="BJ39" s="28">
        <f t="shared" si="51"/>
        <v>0.21020916517088539</v>
      </c>
      <c r="BK39" s="26">
        <f t="shared" si="36"/>
        <v>0</v>
      </c>
      <c r="BL39" s="26">
        <f t="shared" si="37"/>
        <v>0</v>
      </c>
      <c r="BM39" s="26">
        <f t="shared" si="38"/>
        <v>0</v>
      </c>
      <c r="BN39" s="32">
        <f t="shared" si="39"/>
        <v>0</v>
      </c>
    </row>
    <row r="40" spans="21:66" x14ac:dyDescent="0.3">
      <c r="U40">
        <v>500</v>
      </c>
      <c r="V40" s="31">
        <f t="shared" si="18"/>
        <v>2E-3</v>
      </c>
      <c r="W40" s="26">
        <f t="shared" si="9"/>
        <v>1</v>
      </c>
      <c r="X40" s="26">
        <f t="shared" si="10"/>
        <v>999</v>
      </c>
      <c r="Y40" s="42">
        <f t="shared" si="11"/>
        <v>0.24524365602120352</v>
      </c>
      <c r="Z40" s="28">
        <f t="shared" si="12"/>
        <v>0.62324507308368549</v>
      </c>
      <c r="AA40" s="26">
        <f t="shared" si="13"/>
        <v>0</v>
      </c>
      <c r="AB40" s="26">
        <f t="shared" si="19"/>
        <v>0</v>
      </c>
      <c r="AC40" s="26">
        <f t="shared" si="14"/>
        <v>0</v>
      </c>
      <c r="AD40" s="32">
        <f t="shared" si="15"/>
        <v>0</v>
      </c>
      <c r="AE40" s="31">
        <f t="shared" si="20"/>
        <v>2E-3</v>
      </c>
      <c r="AF40" s="26">
        <f t="shared" si="21"/>
        <v>1</v>
      </c>
      <c r="AG40" s="26">
        <f t="shared" si="40"/>
        <v>1500</v>
      </c>
      <c r="AH40" s="42">
        <f t="shared" si="22"/>
        <v>0.24562705395950379</v>
      </c>
      <c r="AI40" s="28">
        <f t="shared" si="23"/>
        <v>0.41520901798650128</v>
      </c>
      <c r="AJ40" s="26">
        <f t="shared" si="24"/>
        <v>0</v>
      </c>
      <c r="AK40" s="26">
        <f t="shared" si="25"/>
        <v>0</v>
      </c>
      <c r="AL40" s="26">
        <f t="shared" si="26"/>
        <v>0</v>
      </c>
      <c r="AM40" s="32">
        <f t="shared" si="27"/>
        <v>0</v>
      </c>
      <c r="AN40" s="31">
        <f t="shared" si="43"/>
        <v>0.5</v>
      </c>
      <c r="AO40" s="26">
        <f t="shared" si="41"/>
        <v>1</v>
      </c>
      <c r="AP40" s="26">
        <f t="shared" si="44"/>
        <v>1750</v>
      </c>
      <c r="AQ40" s="42">
        <f t="shared" si="42"/>
        <v>9.0978562522624012E-2</v>
      </c>
      <c r="AR40" s="28">
        <f t="shared" si="7"/>
        <v>0.31170816072074969</v>
      </c>
      <c r="AS40" s="26">
        <f t="shared" si="28"/>
        <v>0</v>
      </c>
      <c r="AT40" s="26">
        <f t="shared" si="29"/>
        <v>0</v>
      </c>
      <c r="AU40" s="26">
        <f t="shared" si="30"/>
        <v>0</v>
      </c>
      <c r="AV40" s="32">
        <f t="shared" si="31"/>
        <v>0</v>
      </c>
      <c r="AW40" s="31">
        <f t="shared" si="46"/>
        <v>0.502</v>
      </c>
      <c r="AX40" s="26">
        <f t="shared" si="16"/>
        <v>0</v>
      </c>
      <c r="AY40" s="26">
        <f t="shared" si="47"/>
        <v>1999</v>
      </c>
      <c r="AZ40" s="42">
        <f t="shared" si="45"/>
        <v>1.3683753258035996E-3</v>
      </c>
      <c r="BA40" s="28">
        <f t="shared" si="32"/>
        <v>0.24978279756733276</v>
      </c>
      <c r="BB40" s="26">
        <f t="shared" si="8"/>
        <v>1</v>
      </c>
      <c r="BC40" s="26">
        <f t="shared" si="33"/>
        <v>0</v>
      </c>
      <c r="BD40" s="26">
        <f t="shared" si="34"/>
        <v>0</v>
      </c>
      <c r="BE40" s="32">
        <f t="shared" si="35"/>
        <v>0</v>
      </c>
      <c r="BF40" s="29">
        <f t="shared" si="48"/>
        <v>0</v>
      </c>
      <c r="BG40" s="26">
        <f t="shared" si="17"/>
        <v>1</v>
      </c>
      <c r="BH40" s="26">
        <f t="shared" si="49"/>
        <v>2499</v>
      </c>
      <c r="BI40" s="42">
        <f t="shared" si="50"/>
        <v>5.2730869262610447E-2</v>
      </c>
      <c r="BJ40" s="28">
        <f t="shared" si="51"/>
        <v>0.21063042602293125</v>
      </c>
      <c r="BK40" s="26">
        <f t="shared" si="36"/>
        <v>0</v>
      </c>
      <c r="BL40" s="26">
        <f t="shared" si="37"/>
        <v>0</v>
      </c>
      <c r="BM40" s="26">
        <f t="shared" si="38"/>
        <v>0</v>
      </c>
      <c r="BN40" s="32">
        <f t="shared" si="39"/>
        <v>0</v>
      </c>
    </row>
    <row r="41" spans="21:66" x14ac:dyDescent="0.3">
      <c r="U41">
        <v>249</v>
      </c>
      <c r="V41" s="31">
        <f t="shared" si="18"/>
        <v>1.0080321285140563</v>
      </c>
      <c r="W41" s="26">
        <f t="shared" si="9"/>
        <v>1</v>
      </c>
      <c r="X41" s="26">
        <f t="shared" si="10"/>
        <v>749</v>
      </c>
      <c r="Y41" s="42">
        <f t="shared" si="11"/>
        <v>6.6378880520639214E-2</v>
      </c>
      <c r="Z41" s="28">
        <f t="shared" si="12"/>
        <v>0.31037604639567534</v>
      </c>
      <c r="AA41" s="26">
        <f t="shared" si="13"/>
        <v>0</v>
      </c>
      <c r="AB41" s="26">
        <f t="shared" si="19"/>
        <v>0</v>
      </c>
      <c r="AC41" s="26">
        <f t="shared" si="14"/>
        <v>0</v>
      </c>
      <c r="AD41" s="32">
        <f t="shared" si="15"/>
        <v>0</v>
      </c>
      <c r="AE41" s="31">
        <f t="shared" si="20"/>
        <v>1.0040160642570282</v>
      </c>
      <c r="AF41" s="26">
        <f t="shared" si="21"/>
        <v>1</v>
      </c>
      <c r="AG41" s="26">
        <f t="shared" si="40"/>
        <v>1248</v>
      </c>
      <c r="AH41" s="42">
        <f t="shared" si="22"/>
        <v>3.6361708894307149E-2</v>
      </c>
      <c r="AI41" s="28">
        <f t="shared" si="23"/>
        <v>0.20677409095727764</v>
      </c>
      <c r="AJ41" s="26">
        <f t="shared" si="24"/>
        <v>0</v>
      </c>
      <c r="AK41" s="26">
        <f t="shared" si="25"/>
        <v>0</v>
      </c>
      <c r="AL41" s="26">
        <f t="shared" si="26"/>
        <v>1</v>
      </c>
      <c r="AM41" s="32">
        <f t="shared" si="27"/>
        <v>0</v>
      </c>
      <c r="AN41" s="31">
        <f t="shared" si="43"/>
        <v>1.0120481927710843</v>
      </c>
      <c r="AO41" s="26">
        <f t="shared" si="41"/>
        <v>1</v>
      </c>
      <c r="AP41" s="26">
        <f t="shared" si="44"/>
        <v>1749</v>
      </c>
      <c r="AQ41" s="42">
        <f t="shared" si="42"/>
        <v>9.0355146201182526E-2</v>
      </c>
      <c r="AR41" s="28">
        <f t="shared" si="7"/>
        <v>0.15523066403893335</v>
      </c>
      <c r="AS41" s="26">
        <f t="shared" si="28"/>
        <v>0</v>
      </c>
      <c r="AT41" s="26">
        <f t="shared" si="29"/>
        <v>0</v>
      </c>
      <c r="AU41" s="26">
        <f t="shared" si="30"/>
        <v>0</v>
      </c>
      <c r="AV41" s="32">
        <f t="shared" si="31"/>
        <v>0</v>
      </c>
      <c r="AW41" s="31">
        <f t="shared" si="46"/>
        <v>4.0160642570281121E-3</v>
      </c>
      <c r="AX41" s="26">
        <f t="shared" si="16"/>
        <v>1</v>
      </c>
      <c r="AY41" s="26">
        <f t="shared" si="47"/>
        <v>1999</v>
      </c>
      <c r="AZ41" s="42">
        <f t="shared" si="45"/>
        <v>1.3683753258035996E-3</v>
      </c>
      <c r="BA41" s="28">
        <f t="shared" si="32"/>
        <v>0.12439183318853171</v>
      </c>
      <c r="BB41" s="26">
        <f t="shared" si="8"/>
        <v>1</v>
      </c>
      <c r="BC41" s="26">
        <f t="shared" si="33"/>
        <v>0</v>
      </c>
      <c r="BD41" s="26">
        <f t="shared" si="34"/>
        <v>0</v>
      </c>
      <c r="BE41" s="32">
        <f t="shared" si="35"/>
        <v>0</v>
      </c>
      <c r="BF41" s="29">
        <f t="shared" si="48"/>
        <v>0</v>
      </c>
      <c r="BG41" s="26">
        <f t="shared" si="17"/>
        <v>1</v>
      </c>
      <c r="BH41" s="26">
        <f t="shared" si="49"/>
        <v>2248</v>
      </c>
      <c r="BI41" s="42">
        <f t="shared" si="50"/>
        <v>5.3005604600901042E-2</v>
      </c>
      <c r="BJ41" s="28">
        <f t="shared" si="51"/>
        <v>0.10489395215941977</v>
      </c>
      <c r="BK41" s="26">
        <f t="shared" si="36"/>
        <v>0</v>
      </c>
      <c r="BL41" s="26">
        <f t="shared" si="37"/>
        <v>0</v>
      </c>
      <c r="BM41" s="26">
        <f t="shared" si="38"/>
        <v>1</v>
      </c>
      <c r="BN41" s="32">
        <f t="shared" si="39"/>
        <v>0</v>
      </c>
    </row>
    <row r="42" spans="21:66" x14ac:dyDescent="0.3">
      <c r="U42">
        <v>250</v>
      </c>
      <c r="V42" s="31">
        <f t="shared" si="18"/>
        <v>4.0000000000000001E-3</v>
      </c>
      <c r="W42" s="26">
        <f t="shared" si="9"/>
        <v>1</v>
      </c>
      <c r="X42" s="26">
        <f t="shared" si="10"/>
        <v>499</v>
      </c>
      <c r="Y42" s="42">
        <f t="shared" si="11"/>
        <v>0.37800141706248191</v>
      </c>
      <c r="Z42" s="28">
        <f t="shared" si="12"/>
        <v>0.31162253654184274</v>
      </c>
      <c r="AA42" s="26">
        <f t="shared" si="13"/>
        <v>0</v>
      </c>
      <c r="AB42" s="26">
        <f t="shared" si="19"/>
        <v>0</v>
      </c>
      <c r="AC42" s="26">
        <f t="shared" si="14"/>
        <v>0</v>
      </c>
      <c r="AD42" s="32">
        <f t="shared" si="15"/>
        <v>0</v>
      </c>
      <c r="AE42" s="31">
        <f t="shared" si="20"/>
        <v>1</v>
      </c>
      <c r="AF42" s="26">
        <f t="shared" si="21"/>
        <v>1</v>
      </c>
      <c r="AG42" s="26">
        <f t="shared" si="40"/>
        <v>999</v>
      </c>
      <c r="AH42" s="42">
        <f t="shared" si="22"/>
        <v>0.17041238206297049</v>
      </c>
      <c r="AI42" s="28">
        <f t="shared" si="23"/>
        <v>0.20760450899325064</v>
      </c>
      <c r="AJ42" s="26">
        <f t="shared" si="24"/>
        <v>0</v>
      </c>
      <c r="AK42" s="26">
        <f t="shared" si="25"/>
        <v>0</v>
      </c>
      <c r="AL42" s="26">
        <f t="shared" si="26"/>
        <v>1</v>
      </c>
      <c r="AM42" s="32">
        <f t="shared" si="27"/>
        <v>0</v>
      </c>
      <c r="AN42" s="31">
        <f t="shared" si="43"/>
        <v>0.996</v>
      </c>
      <c r="AO42" s="26">
        <f t="shared" si="41"/>
        <v>1</v>
      </c>
      <c r="AP42" s="26">
        <f t="shared" si="44"/>
        <v>1498</v>
      </c>
      <c r="AQ42" s="42">
        <f t="shared" si="42"/>
        <v>6.6122350480633835E-2</v>
      </c>
      <c r="AR42" s="28">
        <f t="shared" si="7"/>
        <v>0.15585408036037485</v>
      </c>
      <c r="AS42" s="26">
        <f t="shared" si="28"/>
        <v>0</v>
      </c>
      <c r="AT42" s="26">
        <f t="shared" si="29"/>
        <v>0</v>
      </c>
      <c r="AU42" s="26">
        <f t="shared" si="30"/>
        <v>0</v>
      </c>
      <c r="AV42" s="32">
        <f t="shared" si="31"/>
        <v>0</v>
      </c>
      <c r="AW42" s="31">
        <f t="shared" si="46"/>
        <v>1.004</v>
      </c>
      <c r="AX42" s="26">
        <f t="shared" si="16"/>
        <v>0</v>
      </c>
      <c r="AY42" s="26">
        <f t="shared" si="47"/>
        <v>1999</v>
      </c>
      <c r="AZ42" s="42">
        <f t="shared" si="45"/>
        <v>1.3683753258035996E-3</v>
      </c>
      <c r="BA42" s="28">
        <f t="shared" si="32"/>
        <v>0.12489139878366638</v>
      </c>
      <c r="BB42" s="26">
        <f t="shared" si="8"/>
        <v>1</v>
      </c>
      <c r="BC42" s="26">
        <f t="shared" si="33"/>
        <v>0</v>
      </c>
      <c r="BD42" s="26">
        <f t="shared" si="34"/>
        <v>0</v>
      </c>
      <c r="BE42" s="32">
        <f t="shared" si="35"/>
        <v>0</v>
      </c>
      <c r="BF42" s="29">
        <f t="shared" si="48"/>
        <v>0</v>
      </c>
      <c r="BG42" s="26">
        <f t="shared" si="17"/>
        <v>1</v>
      </c>
      <c r="BH42" s="26">
        <f t="shared" si="49"/>
        <v>2249</v>
      </c>
      <c r="BI42" s="42">
        <f t="shared" si="50"/>
        <v>5.2584343748855185E-2</v>
      </c>
      <c r="BJ42" s="28">
        <f t="shared" si="51"/>
        <v>0.10531521301146562</v>
      </c>
      <c r="BK42" s="26">
        <f t="shared" si="36"/>
        <v>0</v>
      </c>
      <c r="BL42" s="26">
        <f t="shared" si="37"/>
        <v>0</v>
      </c>
      <c r="BM42" s="26">
        <f t="shared" si="38"/>
        <v>1</v>
      </c>
      <c r="BN42" s="32">
        <f t="shared" si="39"/>
        <v>0</v>
      </c>
    </row>
    <row r="43" spans="21:66" x14ac:dyDescent="0.3">
      <c r="U43">
        <v>501</v>
      </c>
      <c r="V43" s="31">
        <f t="shared" si="18"/>
        <v>0.50099800399201599</v>
      </c>
      <c r="W43" s="26">
        <f t="shared" si="9"/>
        <v>1</v>
      </c>
      <c r="X43" s="26">
        <f t="shared" si="10"/>
        <v>751</v>
      </c>
      <c r="Y43" s="42">
        <f t="shared" si="11"/>
        <v>6.3885900228304468E-2</v>
      </c>
      <c r="Z43" s="28">
        <f t="shared" si="12"/>
        <v>0.62449156322985278</v>
      </c>
      <c r="AA43" s="26">
        <f t="shared" si="13"/>
        <v>0</v>
      </c>
      <c r="AB43" s="26">
        <f t="shared" si="19"/>
        <v>0</v>
      </c>
      <c r="AC43" s="26">
        <f t="shared" si="14"/>
        <v>0</v>
      </c>
      <c r="AD43" s="32">
        <f t="shared" si="15"/>
        <v>0</v>
      </c>
      <c r="AE43" s="31">
        <f t="shared" si="20"/>
        <v>0.50299401197604787</v>
      </c>
      <c r="AF43" s="26">
        <f t="shared" si="21"/>
        <v>1</v>
      </c>
      <c r="AG43" s="26">
        <f t="shared" si="40"/>
        <v>1000</v>
      </c>
      <c r="AH43" s="42">
        <f t="shared" si="22"/>
        <v>0.16958196402699749</v>
      </c>
      <c r="AI43" s="28">
        <f t="shared" si="23"/>
        <v>0.41603943602247428</v>
      </c>
      <c r="AJ43" s="26">
        <f t="shared" si="24"/>
        <v>0</v>
      </c>
      <c r="AK43" s="26">
        <f t="shared" si="25"/>
        <v>0</v>
      </c>
      <c r="AL43" s="26">
        <f t="shared" si="26"/>
        <v>0</v>
      </c>
      <c r="AM43" s="32">
        <f t="shared" si="27"/>
        <v>0</v>
      </c>
      <c r="AN43" s="31">
        <f t="shared" si="43"/>
        <v>1.996007984031936E-3</v>
      </c>
      <c r="AO43" s="26">
        <f t="shared" si="41"/>
        <v>1</v>
      </c>
      <c r="AP43" s="26">
        <f t="shared" si="44"/>
        <v>1500</v>
      </c>
      <c r="AQ43" s="42">
        <f t="shared" si="42"/>
        <v>6.4875517837750835E-2</v>
      </c>
      <c r="AR43" s="28">
        <f t="shared" ref="AR43:AR74" si="52">U43/$AP$10</f>
        <v>0.31233157704219122</v>
      </c>
      <c r="AS43" s="26">
        <f t="shared" si="28"/>
        <v>0</v>
      </c>
      <c r="AT43" s="26">
        <f t="shared" si="29"/>
        <v>0</v>
      </c>
      <c r="AU43" s="26">
        <f t="shared" si="30"/>
        <v>0</v>
      </c>
      <c r="AV43" s="32">
        <f t="shared" si="31"/>
        <v>0</v>
      </c>
      <c r="AW43" s="31">
        <f t="shared" si="46"/>
        <v>3.9920159680638719E-3</v>
      </c>
      <c r="AX43" s="26">
        <f t="shared" si="16"/>
        <v>1</v>
      </c>
      <c r="AY43" s="26">
        <f t="shared" si="47"/>
        <v>1999</v>
      </c>
      <c r="AZ43" s="42">
        <f t="shared" si="45"/>
        <v>1.3683753258035996E-3</v>
      </c>
      <c r="BA43" s="28">
        <f t="shared" si="32"/>
        <v>0.25028236316246744</v>
      </c>
      <c r="BB43" s="26">
        <f t="shared" ref="BB43:BB74" si="53">IF(OR(ABS(BA43-(1/$AA$1))&lt;$U$2,ABS(BA43-(1/$AA$2))&lt;$U$2,ABS(BA43-(1/$AA$7))&lt;$U$2,ABS(BA43-(1/$AA$8))&lt;$U$2),1,0)</f>
        <v>1</v>
      </c>
      <c r="BC43" s="26">
        <f t="shared" si="33"/>
        <v>0</v>
      </c>
      <c r="BD43" s="26">
        <f t="shared" si="34"/>
        <v>0</v>
      </c>
      <c r="BE43" s="32">
        <f t="shared" si="35"/>
        <v>0</v>
      </c>
      <c r="BF43" s="29">
        <f t="shared" si="48"/>
        <v>0</v>
      </c>
      <c r="BG43" s="26">
        <f t="shared" si="17"/>
        <v>1</v>
      </c>
      <c r="BH43" s="26">
        <f t="shared" si="49"/>
        <v>2500</v>
      </c>
      <c r="BI43" s="42">
        <f t="shared" si="50"/>
        <v>5.3152130114656311E-2</v>
      </c>
      <c r="BJ43" s="28">
        <f t="shared" si="51"/>
        <v>0.21105168687497713</v>
      </c>
      <c r="BK43" s="26">
        <f t="shared" si="36"/>
        <v>0</v>
      </c>
      <c r="BL43" s="26">
        <f t="shared" si="37"/>
        <v>0</v>
      </c>
      <c r="BM43" s="26">
        <f t="shared" si="38"/>
        <v>0</v>
      </c>
      <c r="BN43" s="32">
        <f t="shared" si="39"/>
        <v>0</v>
      </c>
    </row>
    <row r="44" spans="21:66" x14ac:dyDescent="0.3">
      <c r="U44" s="1">
        <v>499</v>
      </c>
      <c r="V44" s="31">
        <f t="shared" si="18"/>
        <v>4.0080160320641279E-3</v>
      </c>
      <c r="W44" s="26">
        <f t="shared" ref="W44:W75" si="54">IF(OR(V44&lt;=$U$1,ABS(V44-0.5)&lt;=$U$1,ABS(V44-1)&lt;=$U$1),1,0)</f>
        <v>1</v>
      </c>
      <c r="X44" s="26">
        <f t="shared" ref="X44:X75" si="55">SUM(U43:U44)</f>
        <v>1000</v>
      </c>
      <c r="Y44" s="42">
        <f t="shared" ref="Y44:Y75" si="56">ABS($X$10-X44)/$X$10</f>
        <v>0.24649014616737089</v>
      </c>
      <c r="Z44" s="28">
        <f t="shared" ref="Z44:Z75" si="57">U44/$X$10</f>
        <v>0.62199858293751809</v>
      </c>
      <c r="AA44" s="26">
        <f t="shared" ref="AA44:AA75" si="58">IF(OR(ABS(Z44-(1/$AA$1))&lt;$U$2,ABS(Z44-(1/$AA$2))&lt;$U$2,ABS(Z44-(1/$AA$7))&lt;$U$2,ABS(Z44-(1/$AA$8))&lt;$U$2),1,0)</f>
        <v>0</v>
      </c>
      <c r="AB44" s="26">
        <f t="shared" si="19"/>
        <v>0</v>
      </c>
      <c r="AC44" s="26">
        <f t="shared" ref="AC44:AC75" si="59">IF(OR(ABS(Z44-(1/$AC$1))&lt;$U$2,ABS(Z44-(1/$AC$2))&lt;$U$2,ABS(Z44-(1/$AC$7))&lt;$U$2,ABS(Z44-(1/$AC$8))&lt;$U$2),1,0)</f>
        <v>0</v>
      </c>
      <c r="AD44" s="32">
        <f t="shared" ref="AD44:AD75" si="60">IF(OR(ABS(Z44-(1/$AD$1))&lt;$U$2,ABS(Z44-(1/$AD$2))&lt;$U$2,ABS(Z44-(1/$AD$7))&lt;$U$2,ABS(Z44-(1/$AD$8))&lt;$U$2),1,0)</f>
        <v>0</v>
      </c>
      <c r="AE44" s="31">
        <f t="shared" si="20"/>
        <v>0.49899799599198397</v>
      </c>
      <c r="AF44" s="26">
        <f t="shared" si="21"/>
        <v>1</v>
      </c>
      <c r="AG44" s="26">
        <f t="shared" si="40"/>
        <v>1250</v>
      </c>
      <c r="AH44" s="42">
        <f t="shared" si="22"/>
        <v>3.8022544966253152E-2</v>
      </c>
      <c r="AI44" s="28">
        <f t="shared" si="23"/>
        <v>0.41437859995052828</v>
      </c>
      <c r="AJ44" s="26">
        <f t="shared" si="24"/>
        <v>0</v>
      </c>
      <c r="AK44" s="26">
        <f t="shared" si="25"/>
        <v>0</v>
      </c>
      <c r="AL44" s="26">
        <f t="shared" si="26"/>
        <v>0</v>
      </c>
      <c r="AM44" s="32">
        <f t="shared" si="27"/>
        <v>0</v>
      </c>
      <c r="AN44" s="31">
        <f t="shared" si="43"/>
        <v>0.50100200400801598</v>
      </c>
      <c r="AO44" s="26">
        <f t="shared" si="41"/>
        <v>1</v>
      </c>
      <c r="AP44" s="26">
        <f t="shared" si="44"/>
        <v>1499</v>
      </c>
      <c r="AQ44" s="42">
        <f t="shared" si="42"/>
        <v>6.5498934159192335E-2</v>
      </c>
      <c r="AR44" s="28">
        <f t="shared" si="52"/>
        <v>0.31108474439930822</v>
      </c>
      <c r="AS44" s="26">
        <f t="shared" si="28"/>
        <v>0</v>
      </c>
      <c r="AT44" s="26">
        <f t="shared" si="29"/>
        <v>0</v>
      </c>
      <c r="AU44" s="26">
        <f t="shared" si="30"/>
        <v>0</v>
      </c>
      <c r="AV44" s="32">
        <f t="shared" si="31"/>
        <v>0</v>
      </c>
      <c r="AW44" s="31">
        <f t="shared" si="46"/>
        <v>2.004008016032064E-3</v>
      </c>
      <c r="AX44" s="26">
        <f t="shared" ref="AX44:AX75" si="61">IF(AW44&lt;=$U$1,1,0)</f>
        <v>1</v>
      </c>
      <c r="AY44" s="26">
        <f t="shared" si="47"/>
        <v>1999</v>
      </c>
      <c r="AZ44" s="42">
        <f t="shared" si="45"/>
        <v>1.3683753258035996E-3</v>
      </c>
      <c r="BA44" s="28">
        <f t="shared" si="32"/>
        <v>0.24928323197219809</v>
      </c>
      <c r="BB44" s="26">
        <f t="shared" si="53"/>
        <v>1</v>
      </c>
      <c r="BC44" s="26">
        <f t="shared" si="33"/>
        <v>0</v>
      </c>
      <c r="BD44" s="26">
        <f t="shared" si="34"/>
        <v>0</v>
      </c>
      <c r="BE44" s="32">
        <f t="shared" si="35"/>
        <v>0</v>
      </c>
      <c r="BF44" s="29">
        <f t="shared" si="48"/>
        <v>0</v>
      </c>
      <c r="BG44" s="26">
        <f t="shared" ref="BG44:BG75" si="62">IF(BF44&lt;=$U$1,1,0)</f>
        <v>1</v>
      </c>
      <c r="BH44" s="26">
        <f t="shared" si="49"/>
        <v>2498</v>
      </c>
      <c r="BI44" s="42">
        <f t="shared" si="50"/>
        <v>5.2309608410564583E-2</v>
      </c>
      <c r="BJ44" s="28">
        <f t="shared" si="51"/>
        <v>0.21020916517088539</v>
      </c>
      <c r="BK44" s="26">
        <f t="shared" si="36"/>
        <v>0</v>
      </c>
      <c r="BL44" s="26">
        <f t="shared" si="37"/>
        <v>0</v>
      </c>
      <c r="BM44" s="26">
        <f t="shared" si="38"/>
        <v>0</v>
      </c>
      <c r="BN44" s="32">
        <f t="shared" si="39"/>
        <v>0</v>
      </c>
    </row>
    <row r="45" spans="21:66" x14ac:dyDescent="0.3">
      <c r="U45">
        <v>500</v>
      </c>
      <c r="V45" s="31">
        <f t="shared" si="18"/>
        <v>2E-3</v>
      </c>
      <c r="W45" s="26">
        <f t="shared" si="54"/>
        <v>1</v>
      </c>
      <c r="X45" s="26">
        <f t="shared" si="55"/>
        <v>999</v>
      </c>
      <c r="Y45" s="42">
        <f t="shared" si="56"/>
        <v>0.24524365602120352</v>
      </c>
      <c r="Z45" s="28">
        <f t="shared" si="57"/>
        <v>0.62324507308368549</v>
      </c>
      <c r="AA45" s="26">
        <f t="shared" si="58"/>
        <v>0</v>
      </c>
      <c r="AB45" s="26">
        <f t="shared" ref="AB45:AB76" si="63">IF(OR(ABS(Z45-(1/$AB$1))&lt;$U$2,ABS(Z45-(2/$AB$1))&lt;$U$2,ABS(Z45-(3/$AB$1))&lt;$U$2,ABS(Z45-(1/$AB$2))&lt;$U$2,ABS(Z45-(1/$AB$7))&lt;$U$2,ABS(Z45-(1/$AB$8))&lt;$U$2),1,0)</f>
        <v>0</v>
      </c>
      <c r="AC45" s="26">
        <f t="shared" si="59"/>
        <v>0</v>
      </c>
      <c r="AD45" s="32">
        <f t="shared" si="60"/>
        <v>0</v>
      </c>
      <c r="AE45" s="31">
        <f t="shared" ref="AE45:AE76" si="64">ABS(U45-U43)/U45</f>
        <v>2E-3</v>
      </c>
      <c r="AF45" s="26">
        <f t="shared" ref="AF45:AF76" si="65">IF(OR(AE45&lt;=$U$1,ABS(AE45-1)&lt;=$U$1,ABS(AE45-0.5)&lt;=$U$1),1,0)</f>
        <v>1</v>
      </c>
      <c r="AG45" s="26">
        <f t="shared" si="40"/>
        <v>1500</v>
      </c>
      <c r="AH45" s="42">
        <f t="shared" ref="AH45:AH76" si="66">ABS($AG$10-AG45)/$AG$10</f>
        <v>0.24562705395950379</v>
      </c>
      <c r="AI45" s="28">
        <f t="shared" ref="AI45:AI76" si="67">U45/$AG$10</f>
        <v>0.41520901798650128</v>
      </c>
      <c r="AJ45" s="26">
        <f t="shared" ref="AJ45:AJ76" si="68">IF(OR(ABS(AI45-(1/$AA$1))&lt;$U$2,ABS(AI45-(1/$AA$2))&lt;$U$2,ABS(AI45-(1/$AA$7))&lt;$U$2,ABS(AI45-(1/$AA$8))&lt;$U$2),1,0)</f>
        <v>0</v>
      </c>
      <c r="AK45" s="26">
        <f t="shared" ref="AK45:AK76" si="69">IF(OR(ABS(AI45-(1/$AB$1))&lt;$U$2,ABS(AI45-(1/$AB$2))&lt;$U$2,ABS(AI45-(1/$AB$7))&lt;$U$2,ABS(AI45-(1/$AB$8))&lt;$U$2),1,0)</f>
        <v>0</v>
      </c>
      <c r="AL45" s="26">
        <f t="shared" ref="AL45:AL76" si="70">IF(OR(ABS(AI45-(1/$AC$1))&lt;$U$2,ABS(AI45-(1/$AC$2))&lt;$U$2,ABS(AI45-(1/$AC$7))&lt;$U$2,ABS(AI45-(1/$AC$8))&lt;$U$2),1,0)</f>
        <v>0</v>
      </c>
      <c r="AM45" s="32">
        <f t="shared" ref="AM45:AM76" si="71">IF(OR(ABS(AI45-(1/$AD$1))&lt;$U$2,ABS(AI45-(1/$AD$2))&lt;$U$2,ABS(AI45-(1/$AD$7))&lt;$U$2,ABS(AI45-(1/$AD$8))&lt;$U$2),1,0)</f>
        <v>0</v>
      </c>
      <c r="AN45" s="31">
        <f t="shared" si="43"/>
        <v>0.5</v>
      </c>
      <c r="AO45" s="26">
        <f t="shared" si="41"/>
        <v>1</v>
      </c>
      <c r="AP45" s="26">
        <f t="shared" si="44"/>
        <v>1750</v>
      </c>
      <c r="AQ45" s="42">
        <f t="shared" si="42"/>
        <v>9.0978562522624012E-2</v>
      </c>
      <c r="AR45" s="28">
        <f t="shared" si="52"/>
        <v>0.31170816072074969</v>
      </c>
      <c r="AS45" s="26">
        <f t="shared" ref="AS45:AS76" si="72">IF(OR(ABS(AR45-(1/$AA$1))&lt;$U$2,ABS(AR45-(1/$AA$2))&lt;$U$2,ABS(AR45-(1/$AA$7))&lt;$U$2,ABS(AR45-(1/$AA$8))&lt;$U$2),1,0)</f>
        <v>0</v>
      </c>
      <c r="AT45" s="26">
        <f t="shared" ref="AT45:AT76" si="73">IF(OR(ABS(AR45-(1/$AB$1))&lt;$U$2,ABS(AR45-(1/$AB$2))&lt;$U$2,ABS(AR45-(1/$AB$7))&lt;$U$2,ABS(AR45-(1/$AB$8))&lt;$U$2),1,0)</f>
        <v>0</v>
      </c>
      <c r="AU45" s="26">
        <f t="shared" ref="AU45:AU76" si="74">IF(OR(ABS(AR45-(1/$AC$1))&lt;$U$2,ABS(AR45-(1/$AC$2))&lt;$U$2,ABS(AR45-(1/$AC$7))&lt;$U$2,ABS(AR45-(1/$AC$8))&lt;$U$2),1,0)</f>
        <v>0</v>
      </c>
      <c r="AV45" s="32">
        <f t="shared" ref="AV45:AV76" si="75">IF(OR(ABS(AR45-(1/$AD$1))&lt;$U$2,ABS(AR45-(1/$AD$2))&lt;$U$2,ABS(AR45-(1/$AD$7))&lt;$U$2,ABS(AR45-(1/$AD$8))&lt;$U$2),1,0)</f>
        <v>0</v>
      </c>
      <c r="AW45" s="31">
        <f t="shared" si="46"/>
        <v>0.502</v>
      </c>
      <c r="AX45" s="26">
        <f t="shared" si="61"/>
        <v>0</v>
      </c>
      <c r="AY45" s="26">
        <f t="shared" si="47"/>
        <v>1999</v>
      </c>
      <c r="AZ45" s="42">
        <f t="shared" si="45"/>
        <v>1.3683753258035996E-3</v>
      </c>
      <c r="BA45" s="28">
        <f t="shared" si="32"/>
        <v>0.24978279756733276</v>
      </c>
      <c r="BB45" s="26">
        <f t="shared" si="53"/>
        <v>1</v>
      </c>
      <c r="BC45" s="26">
        <f t="shared" ref="BC45:BC76" si="76">IF(OR(ABS(BA45-(1/$AB$1))&lt;$U$2,ABS(BA45-(1/$AB$2))&lt;$U$2,ABS(BA45-(1/$AB$7))&lt;$U$2,ABS(BA45-(1/$AB$8))&lt;$U$2),1,0)</f>
        <v>0</v>
      </c>
      <c r="BD45" s="26">
        <f t="shared" ref="BD45:BD76" si="77">IF(OR(ABS(BA45-(1/$AC$1))&lt;$U$2,ABS(BA45-(1/$AC$2))&lt;$U$2,ABS(BA45-(1/$AC$7))&lt;$U$2,ABS(BA45-(1/$AC$8))&lt;$U$2),1,0)</f>
        <v>0</v>
      </c>
      <c r="BE45" s="32">
        <f t="shared" ref="BE45:BE76" si="78">IF(OR(ABS(BA45-(1/$AD$1))&lt;$U$2,ABS(BA45-(1/$AD$2))&lt;$U$2,ABS(BA45-(1/$AD$7))&lt;$U$2,ABS(BA45-(1/$AD$8))&lt;$U$2),1,0)</f>
        <v>0</v>
      </c>
      <c r="BF45" s="29">
        <f t="shared" si="48"/>
        <v>0</v>
      </c>
      <c r="BG45" s="26">
        <f t="shared" si="62"/>
        <v>1</v>
      </c>
      <c r="BH45" s="26">
        <f t="shared" si="49"/>
        <v>2499</v>
      </c>
      <c r="BI45" s="42">
        <f t="shared" si="50"/>
        <v>5.2730869262610447E-2</v>
      </c>
      <c r="BJ45" s="28">
        <f t="shared" si="51"/>
        <v>0.21063042602293125</v>
      </c>
      <c r="BK45" s="26">
        <f t="shared" ref="BK45:BK76" si="79">IF(OR(ABS(BJ45-(1/$AA$1))&lt;$U$2,ABS(BJ45-(1/$AA$2))&lt;$U$2,ABS(BJ45-(1/$AA$7))&lt;$U$2,ABS(BJ45-(1/$AA$8))&lt;$U$2),1,0)</f>
        <v>0</v>
      </c>
      <c r="BL45" s="26">
        <f t="shared" ref="BL45:BL76" si="80">IF(OR(ABS(BJ45-(1/$AB$1))&lt;$U$2,ABS(BJ45-(1/$AB$2))&lt;$U$2,ABS(BJ45-(1/$AB$7))&lt;$U$2,ABS(BJ45-(1/$AB$8))&lt;$U$2),1,0)</f>
        <v>0</v>
      </c>
      <c r="BM45" s="26">
        <f t="shared" ref="BM45:BM76" si="81">IF(OR(ABS(BJ45-(1/$AC$1))&lt;$U$2,ABS(BJ45-(1/$AC$2))&lt;$U$2,ABS(BJ45-(1/$AC$7))&lt;$U$2,ABS(BJ45-(1/$AC$8))&lt;$U$2),1,0)</f>
        <v>0</v>
      </c>
      <c r="BN45" s="32">
        <f t="shared" ref="BN45:BN76" si="82">IF(OR(ABS(BJ45-(1/$AD$1))&lt;$U$2,ABS(BJ45-(1/$AD$2))&lt;$U$2,ABS(BJ45-(1/$AD$7))&lt;$U$2,ABS(BJ45-(1/$AD$8))&lt;$U$2),1,0)</f>
        <v>0</v>
      </c>
    </row>
    <row r="46" spans="21:66" x14ac:dyDescent="0.3">
      <c r="U46">
        <v>249</v>
      </c>
      <c r="V46" s="31">
        <f t="shared" si="18"/>
        <v>1.0080321285140563</v>
      </c>
      <c r="W46" s="26">
        <f t="shared" si="54"/>
        <v>1</v>
      </c>
      <c r="X46" s="26">
        <f t="shared" si="55"/>
        <v>749</v>
      </c>
      <c r="Y46" s="42">
        <f t="shared" si="56"/>
        <v>6.6378880520639214E-2</v>
      </c>
      <c r="Z46" s="28">
        <f t="shared" si="57"/>
        <v>0.31037604639567534</v>
      </c>
      <c r="AA46" s="26">
        <f t="shared" si="58"/>
        <v>0</v>
      </c>
      <c r="AB46" s="26">
        <f t="shared" si="63"/>
        <v>0</v>
      </c>
      <c r="AC46" s="26">
        <f t="shared" si="59"/>
        <v>0</v>
      </c>
      <c r="AD46" s="32">
        <f t="shared" si="60"/>
        <v>0</v>
      </c>
      <c r="AE46" s="31">
        <f t="shared" si="64"/>
        <v>1.0040160642570282</v>
      </c>
      <c r="AF46" s="26">
        <f t="shared" si="65"/>
        <v>1</v>
      </c>
      <c r="AG46" s="26">
        <f t="shared" si="40"/>
        <v>1248</v>
      </c>
      <c r="AH46" s="42">
        <f t="shared" si="66"/>
        <v>3.6361708894307149E-2</v>
      </c>
      <c r="AI46" s="28">
        <f t="shared" si="67"/>
        <v>0.20677409095727764</v>
      </c>
      <c r="AJ46" s="26">
        <f t="shared" si="68"/>
        <v>0</v>
      </c>
      <c r="AK46" s="26">
        <f t="shared" si="69"/>
        <v>0</v>
      </c>
      <c r="AL46" s="26">
        <f t="shared" si="70"/>
        <v>1</v>
      </c>
      <c r="AM46" s="32">
        <f t="shared" si="71"/>
        <v>0</v>
      </c>
      <c r="AN46" s="31">
        <f t="shared" si="43"/>
        <v>1.0120481927710843</v>
      </c>
      <c r="AO46" s="26">
        <f t="shared" ref="AO46:AO77" si="83">IF(OR(AN46&lt;=$U$1,ABS(AN46-0.5)&lt;=$U$1,ABS(AN46-1)&lt;=$U$1),1,0)</f>
        <v>1</v>
      </c>
      <c r="AP46" s="26">
        <f t="shared" si="44"/>
        <v>1749</v>
      </c>
      <c r="AQ46" s="42">
        <f t="shared" ref="AQ46:AQ77" si="84">ABS($AP$10-AP46)/$AP$10</f>
        <v>9.0355146201182526E-2</v>
      </c>
      <c r="AR46" s="28">
        <f t="shared" si="52"/>
        <v>0.15523066403893335</v>
      </c>
      <c r="AS46" s="26">
        <f t="shared" si="72"/>
        <v>0</v>
      </c>
      <c r="AT46" s="26">
        <f t="shared" si="73"/>
        <v>0</v>
      </c>
      <c r="AU46" s="26">
        <f t="shared" si="74"/>
        <v>0</v>
      </c>
      <c r="AV46" s="32">
        <f t="shared" si="75"/>
        <v>0</v>
      </c>
      <c r="AW46" s="31">
        <f t="shared" si="46"/>
        <v>4.0160642570281121E-3</v>
      </c>
      <c r="AX46" s="26">
        <f t="shared" si="61"/>
        <v>1</v>
      </c>
      <c r="AY46" s="26">
        <f t="shared" si="47"/>
        <v>1999</v>
      </c>
      <c r="AZ46" s="42">
        <f t="shared" si="45"/>
        <v>1.3683753258035996E-3</v>
      </c>
      <c r="BA46" s="28">
        <f t="shared" si="32"/>
        <v>0.12439183318853171</v>
      </c>
      <c r="BB46" s="26">
        <f t="shared" si="53"/>
        <v>1</v>
      </c>
      <c r="BC46" s="26">
        <f t="shared" si="76"/>
        <v>0</v>
      </c>
      <c r="BD46" s="26">
        <f t="shared" si="77"/>
        <v>0</v>
      </c>
      <c r="BE46" s="32">
        <f t="shared" si="78"/>
        <v>0</v>
      </c>
      <c r="BF46" s="29">
        <f t="shared" si="48"/>
        <v>0</v>
      </c>
      <c r="BG46" s="26">
        <f t="shared" si="62"/>
        <v>1</v>
      </c>
      <c r="BH46" s="26">
        <f t="shared" si="49"/>
        <v>2248</v>
      </c>
      <c r="BI46" s="42">
        <f t="shared" si="50"/>
        <v>5.3005604600901042E-2</v>
      </c>
      <c r="BJ46" s="28">
        <f t="shared" si="51"/>
        <v>0.10489395215941977</v>
      </c>
      <c r="BK46" s="26">
        <f t="shared" si="79"/>
        <v>0</v>
      </c>
      <c r="BL46" s="26">
        <f t="shared" si="80"/>
        <v>0</v>
      </c>
      <c r="BM46" s="26">
        <f t="shared" si="81"/>
        <v>1</v>
      </c>
      <c r="BN46" s="32">
        <f t="shared" si="82"/>
        <v>0</v>
      </c>
    </row>
    <row r="47" spans="21:66" x14ac:dyDescent="0.3">
      <c r="U47">
        <v>250</v>
      </c>
      <c r="V47" s="31">
        <f t="shared" si="18"/>
        <v>4.0000000000000001E-3</v>
      </c>
      <c r="W47" s="26">
        <f t="shared" si="54"/>
        <v>1</v>
      </c>
      <c r="X47" s="26">
        <f t="shared" si="55"/>
        <v>499</v>
      </c>
      <c r="Y47" s="42">
        <f t="shared" si="56"/>
        <v>0.37800141706248191</v>
      </c>
      <c r="Z47" s="28">
        <f t="shared" si="57"/>
        <v>0.31162253654184274</v>
      </c>
      <c r="AA47" s="26">
        <f t="shared" si="58"/>
        <v>0</v>
      </c>
      <c r="AB47" s="26">
        <f t="shared" si="63"/>
        <v>0</v>
      </c>
      <c r="AC47" s="26">
        <f t="shared" si="59"/>
        <v>0</v>
      </c>
      <c r="AD47" s="32">
        <f t="shared" si="60"/>
        <v>0</v>
      </c>
      <c r="AE47" s="31">
        <f t="shared" si="64"/>
        <v>1</v>
      </c>
      <c r="AF47" s="26">
        <f t="shared" si="65"/>
        <v>1</v>
      </c>
      <c r="AG47" s="26">
        <f t="shared" si="40"/>
        <v>999</v>
      </c>
      <c r="AH47" s="42">
        <f t="shared" si="66"/>
        <v>0.17041238206297049</v>
      </c>
      <c r="AI47" s="28">
        <f t="shared" si="67"/>
        <v>0.20760450899325064</v>
      </c>
      <c r="AJ47" s="26">
        <f t="shared" si="68"/>
        <v>0</v>
      </c>
      <c r="AK47" s="26">
        <f t="shared" si="69"/>
        <v>0</v>
      </c>
      <c r="AL47" s="26">
        <f t="shared" si="70"/>
        <v>1</v>
      </c>
      <c r="AM47" s="32">
        <f t="shared" si="71"/>
        <v>0</v>
      </c>
      <c r="AN47" s="31">
        <f t="shared" si="43"/>
        <v>0.996</v>
      </c>
      <c r="AO47" s="26">
        <f t="shared" si="83"/>
        <v>1</v>
      </c>
      <c r="AP47" s="26">
        <f t="shared" si="44"/>
        <v>1498</v>
      </c>
      <c r="AQ47" s="42">
        <f t="shared" si="84"/>
        <v>6.6122350480633835E-2</v>
      </c>
      <c r="AR47" s="28">
        <f t="shared" si="52"/>
        <v>0.15585408036037485</v>
      </c>
      <c r="AS47" s="26">
        <f t="shared" si="72"/>
        <v>0</v>
      </c>
      <c r="AT47" s="26">
        <f t="shared" si="73"/>
        <v>0</v>
      </c>
      <c r="AU47" s="26">
        <f t="shared" si="74"/>
        <v>0</v>
      </c>
      <c r="AV47" s="32">
        <f t="shared" si="75"/>
        <v>0</v>
      </c>
      <c r="AW47" s="31">
        <f t="shared" si="46"/>
        <v>1.004</v>
      </c>
      <c r="AX47" s="26">
        <f t="shared" si="61"/>
        <v>0</v>
      </c>
      <c r="AY47" s="26">
        <f t="shared" si="47"/>
        <v>1999</v>
      </c>
      <c r="AZ47" s="42">
        <f t="shared" ref="AZ47:AZ78" si="85">ABS($AY$10-AY47)/$AY$10</f>
        <v>1.3683753258035996E-3</v>
      </c>
      <c r="BA47" s="28">
        <f t="shared" si="32"/>
        <v>0.12489139878366638</v>
      </c>
      <c r="BB47" s="26">
        <f t="shared" si="53"/>
        <v>1</v>
      </c>
      <c r="BC47" s="26">
        <f t="shared" si="76"/>
        <v>0</v>
      </c>
      <c r="BD47" s="26">
        <f t="shared" si="77"/>
        <v>0</v>
      </c>
      <c r="BE47" s="32">
        <f t="shared" si="78"/>
        <v>0</v>
      </c>
      <c r="BF47" s="29">
        <f t="shared" si="48"/>
        <v>0</v>
      </c>
      <c r="BG47" s="26">
        <f t="shared" si="62"/>
        <v>1</v>
      </c>
      <c r="BH47" s="26">
        <f t="shared" si="49"/>
        <v>2249</v>
      </c>
      <c r="BI47" s="42">
        <f t="shared" si="50"/>
        <v>5.2584343748855185E-2</v>
      </c>
      <c r="BJ47" s="28">
        <f t="shared" si="51"/>
        <v>0.10531521301146562</v>
      </c>
      <c r="BK47" s="26">
        <f t="shared" si="79"/>
        <v>0</v>
      </c>
      <c r="BL47" s="26">
        <f t="shared" si="80"/>
        <v>0</v>
      </c>
      <c r="BM47" s="26">
        <f t="shared" si="81"/>
        <v>1</v>
      </c>
      <c r="BN47" s="32">
        <f t="shared" si="82"/>
        <v>0</v>
      </c>
    </row>
    <row r="48" spans="21:66" x14ac:dyDescent="0.3">
      <c r="U48">
        <v>501</v>
      </c>
      <c r="V48" s="31">
        <f t="shared" si="18"/>
        <v>0.50099800399201599</v>
      </c>
      <c r="W48" s="26">
        <f t="shared" si="54"/>
        <v>1</v>
      </c>
      <c r="X48" s="26">
        <f t="shared" si="55"/>
        <v>751</v>
      </c>
      <c r="Y48" s="42">
        <f t="shared" si="56"/>
        <v>6.3885900228304468E-2</v>
      </c>
      <c r="Z48" s="28">
        <f t="shared" si="57"/>
        <v>0.62449156322985278</v>
      </c>
      <c r="AA48" s="26">
        <f t="shared" si="58"/>
        <v>0</v>
      </c>
      <c r="AB48" s="26">
        <f t="shared" si="63"/>
        <v>0</v>
      </c>
      <c r="AC48" s="26">
        <f t="shared" si="59"/>
        <v>0</v>
      </c>
      <c r="AD48" s="32">
        <f t="shared" si="60"/>
        <v>0</v>
      </c>
      <c r="AE48" s="31">
        <f t="shared" si="64"/>
        <v>0.50299401197604787</v>
      </c>
      <c r="AF48" s="26">
        <f t="shared" si="65"/>
        <v>1</v>
      </c>
      <c r="AG48" s="26">
        <f t="shared" si="40"/>
        <v>1000</v>
      </c>
      <c r="AH48" s="42">
        <f t="shared" si="66"/>
        <v>0.16958196402699749</v>
      </c>
      <c r="AI48" s="28">
        <f t="shared" si="67"/>
        <v>0.41603943602247428</v>
      </c>
      <c r="AJ48" s="26">
        <f t="shared" si="68"/>
        <v>0</v>
      </c>
      <c r="AK48" s="26">
        <f t="shared" si="69"/>
        <v>0</v>
      </c>
      <c r="AL48" s="26">
        <f t="shared" si="70"/>
        <v>0</v>
      </c>
      <c r="AM48" s="32">
        <f t="shared" si="71"/>
        <v>0</v>
      </c>
      <c r="AN48" s="31">
        <f t="shared" si="43"/>
        <v>1.996007984031936E-3</v>
      </c>
      <c r="AO48" s="26">
        <f t="shared" si="83"/>
        <v>1</v>
      </c>
      <c r="AP48" s="26">
        <f t="shared" si="44"/>
        <v>1500</v>
      </c>
      <c r="AQ48" s="42">
        <f t="shared" si="84"/>
        <v>6.4875517837750835E-2</v>
      </c>
      <c r="AR48" s="28">
        <f t="shared" si="52"/>
        <v>0.31233157704219122</v>
      </c>
      <c r="AS48" s="26">
        <f t="shared" si="72"/>
        <v>0</v>
      </c>
      <c r="AT48" s="26">
        <f t="shared" si="73"/>
        <v>0</v>
      </c>
      <c r="AU48" s="26">
        <f t="shared" si="74"/>
        <v>0</v>
      </c>
      <c r="AV48" s="32">
        <f t="shared" si="75"/>
        <v>0</v>
      </c>
      <c r="AW48" s="31">
        <f t="shared" si="46"/>
        <v>3.9920159680638719E-3</v>
      </c>
      <c r="AX48" s="26">
        <f t="shared" si="61"/>
        <v>1</v>
      </c>
      <c r="AY48" s="26">
        <f t="shared" si="47"/>
        <v>1999</v>
      </c>
      <c r="AZ48" s="42">
        <f t="shared" si="85"/>
        <v>1.3683753258035996E-3</v>
      </c>
      <c r="BA48" s="28">
        <f t="shared" si="32"/>
        <v>0.25028236316246744</v>
      </c>
      <c r="BB48" s="26">
        <f t="shared" si="53"/>
        <v>1</v>
      </c>
      <c r="BC48" s="26">
        <f t="shared" si="76"/>
        <v>0</v>
      </c>
      <c r="BD48" s="26">
        <f t="shared" si="77"/>
        <v>0</v>
      </c>
      <c r="BE48" s="32">
        <f t="shared" si="78"/>
        <v>0</v>
      </c>
      <c r="BF48" s="29">
        <f t="shared" si="48"/>
        <v>0</v>
      </c>
      <c r="BG48" s="26">
        <f t="shared" si="62"/>
        <v>1</v>
      </c>
      <c r="BH48" s="26">
        <f t="shared" si="49"/>
        <v>2500</v>
      </c>
      <c r="BI48" s="42">
        <f t="shared" si="50"/>
        <v>5.3152130114656311E-2</v>
      </c>
      <c r="BJ48" s="28">
        <f t="shared" si="51"/>
        <v>0.21105168687497713</v>
      </c>
      <c r="BK48" s="26">
        <f t="shared" si="79"/>
        <v>0</v>
      </c>
      <c r="BL48" s="26">
        <f t="shared" si="80"/>
        <v>0</v>
      </c>
      <c r="BM48" s="26">
        <f t="shared" si="81"/>
        <v>0</v>
      </c>
      <c r="BN48" s="32">
        <f t="shared" si="82"/>
        <v>0</v>
      </c>
    </row>
    <row r="49" spans="21:66" x14ac:dyDescent="0.3">
      <c r="U49" s="1">
        <v>499</v>
      </c>
      <c r="V49" s="31">
        <f t="shared" si="18"/>
        <v>4.0080160320641279E-3</v>
      </c>
      <c r="W49" s="26">
        <f t="shared" si="54"/>
        <v>1</v>
      </c>
      <c r="X49" s="26">
        <f t="shared" si="55"/>
        <v>1000</v>
      </c>
      <c r="Y49" s="42">
        <f t="shared" si="56"/>
        <v>0.24649014616737089</v>
      </c>
      <c r="Z49" s="28">
        <f t="shared" si="57"/>
        <v>0.62199858293751809</v>
      </c>
      <c r="AA49" s="26">
        <f t="shared" si="58"/>
        <v>0</v>
      </c>
      <c r="AB49" s="26">
        <f t="shared" si="63"/>
        <v>0</v>
      </c>
      <c r="AC49" s="26">
        <f t="shared" si="59"/>
        <v>0</v>
      </c>
      <c r="AD49" s="32">
        <f t="shared" si="60"/>
        <v>0</v>
      </c>
      <c r="AE49" s="31">
        <f t="shared" si="64"/>
        <v>0.49899799599198397</v>
      </c>
      <c r="AF49" s="26">
        <f t="shared" si="65"/>
        <v>1</v>
      </c>
      <c r="AG49" s="26">
        <f t="shared" si="40"/>
        <v>1250</v>
      </c>
      <c r="AH49" s="42">
        <f t="shared" si="66"/>
        <v>3.8022544966253152E-2</v>
      </c>
      <c r="AI49" s="28">
        <f t="shared" si="67"/>
        <v>0.41437859995052828</v>
      </c>
      <c r="AJ49" s="26">
        <f t="shared" si="68"/>
        <v>0</v>
      </c>
      <c r="AK49" s="26">
        <f t="shared" si="69"/>
        <v>0</v>
      </c>
      <c r="AL49" s="26">
        <f t="shared" si="70"/>
        <v>0</v>
      </c>
      <c r="AM49" s="32">
        <f t="shared" si="71"/>
        <v>0</v>
      </c>
      <c r="AN49" s="31">
        <f t="shared" si="43"/>
        <v>0.50100200400801598</v>
      </c>
      <c r="AO49" s="26">
        <f t="shared" si="83"/>
        <v>1</v>
      </c>
      <c r="AP49" s="26">
        <f t="shared" si="44"/>
        <v>1499</v>
      </c>
      <c r="AQ49" s="42">
        <f t="shared" si="84"/>
        <v>6.5498934159192335E-2</v>
      </c>
      <c r="AR49" s="28">
        <f t="shared" si="52"/>
        <v>0.31108474439930822</v>
      </c>
      <c r="AS49" s="26">
        <f t="shared" si="72"/>
        <v>0</v>
      </c>
      <c r="AT49" s="26">
        <f t="shared" si="73"/>
        <v>0</v>
      </c>
      <c r="AU49" s="26">
        <f t="shared" si="74"/>
        <v>0</v>
      </c>
      <c r="AV49" s="32">
        <f t="shared" si="75"/>
        <v>0</v>
      </c>
      <c r="AW49" s="31">
        <f t="shared" si="46"/>
        <v>2.004008016032064E-3</v>
      </c>
      <c r="AX49" s="26">
        <f t="shared" si="61"/>
        <v>1</v>
      </c>
      <c r="AY49" s="26">
        <f t="shared" si="47"/>
        <v>1999</v>
      </c>
      <c r="AZ49" s="42">
        <f t="shared" si="85"/>
        <v>1.3683753258035996E-3</v>
      </c>
      <c r="BA49" s="28">
        <f t="shared" si="32"/>
        <v>0.24928323197219809</v>
      </c>
      <c r="BB49" s="26">
        <f t="shared" si="53"/>
        <v>1</v>
      </c>
      <c r="BC49" s="26">
        <f t="shared" si="76"/>
        <v>0</v>
      </c>
      <c r="BD49" s="26">
        <f t="shared" si="77"/>
        <v>0</v>
      </c>
      <c r="BE49" s="32">
        <f t="shared" si="78"/>
        <v>0</v>
      </c>
      <c r="BF49" s="29">
        <f t="shared" si="48"/>
        <v>0</v>
      </c>
      <c r="BG49" s="26">
        <f t="shared" si="62"/>
        <v>1</v>
      </c>
      <c r="BH49" s="26">
        <f t="shared" si="49"/>
        <v>2498</v>
      </c>
      <c r="BI49" s="42">
        <f t="shared" si="50"/>
        <v>5.2309608410564583E-2</v>
      </c>
      <c r="BJ49" s="28">
        <f t="shared" si="51"/>
        <v>0.21020916517088539</v>
      </c>
      <c r="BK49" s="26">
        <f t="shared" si="79"/>
        <v>0</v>
      </c>
      <c r="BL49" s="26">
        <f t="shared" si="80"/>
        <v>0</v>
      </c>
      <c r="BM49" s="26">
        <f t="shared" si="81"/>
        <v>0</v>
      </c>
      <c r="BN49" s="32">
        <f t="shared" si="82"/>
        <v>0</v>
      </c>
    </row>
    <row r="50" spans="21:66" x14ac:dyDescent="0.3">
      <c r="U50">
        <v>500</v>
      </c>
      <c r="V50" s="31">
        <f t="shared" si="18"/>
        <v>2E-3</v>
      </c>
      <c r="W50" s="26">
        <f t="shared" si="54"/>
        <v>1</v>
      </c>
      <c r="X50" s="26">
        <f t="shared" si="55"/>
        <v>999</v>
      </c>
      <c r="Y50" s="42">
        <f t="shared" si="56"/>
        <v>0.24524365602120352</v>
      </c>
      <c r="Z50" s="28">
        <f t="shared" si="57"/>
        <v>0.62324507308368549</v>
      </c>
      <c r="AA50" s="26">
        <f t="shared" si="58"/>
        <v>0</v>
      </c>
      <c r="AB50" s="26">
        <f t="shared" si="63"/>
        <v>0</v>
      </c>
      <c r="AC50" s="26">
        <f t="shared" si="59"/>
        <v>0</v>
      </c>
      <c r="AD50" s="32">
        <f t="shared" si="60"/>
        <v>0</v>
      </c>
      <c r="AE50" s="31">
        <f t="shared" si="64"/>
        <v>2E-3</v>
      </c>
      <c r="AF50" s="26">
        <f t="shared" si="65"/>
        <v>1</v>
      </c>
      <c r="AG50" s="26">
        <f t="shared" si="40"/>
        <v>1500</v>
      </c>
      <c r="AH50" s="42">
        <f t="shared" si="66"/>
        <v>0.24562705395950379</v>
      </c>
      <c r="AI50" s="28">
        <f t="shared" si="67"/>
        <v>0.41520901798650128</v>
      </c>
      <c r="AJ50" s="26">
        <f t="shared" si="68"/>
        <v>0</v>
      </c>
      <c r="AK50" s="26">
        <f t="shared" si="69"/>
        <v>0</v>
      </c>
      <c r="AL50" s="26">
        <f t="shared" si="70"/>
        <v>0</v>
      </c>
      <c r="AM50" s="32">
        <f t="shared" si="71"/>
        <v>0</v>
      </c>
      <c r="AN50" s="31">
        <f t="shared" si="43"/>
        <v>0.5</v>
      </c>
      <c r="AO50" s="26">
        <f t="shared" si="83"/>
        <v>1</v>
      </c>
      <c r="AP50" s="26">
        <f t="shared" si="44"/>
        <v>1750</v>
      </c>
      <c r="AQ50" s="42">
        <f t="shared" si="84"/>
        <v>9.0978562522624012E-2</v>
      </c>
      <c r="AR50" s="28">
        <f t="shared" si="52"/>
        <v>0.31170816072074969</v>
      </c>
      <c r="AS50" s="26">
        <f t="shared" si="72"/>
        <v>0</v>
      </c>
      <c r="AT50" s="26">
        <f t="shared" si="73"/>
        <v>0</v>
      </c>
      <c r="AU50" s="26">
        <f t="shared" si="74"/>
        <v>0</v>
      </c>
      <c r="AV50" s="32">
        <f t="shared" si="75"/>
        <v>0</v>
      </c>
      <c r="AW50" s="31">
        <f t="shared" si="46"/>
        <v>0.502</v>
      </c>
      <c r="AX50" s="26">
        <f t="shared" si="61"/>
        <v>0</v>
      </c>
      <c r="AY50" s="26">
        <f t="shared" si="47"/>
        <v>1999</v>
      </c>
      <c r="AZ50" s="42">
        <f t="shared" si="85"/>
        <v>1.3683753258035996E-3</v>
      </c>
      <c r="BA50" s="28">
        <f t="shared" si="32"/>
        <v>0.24978279756733276</v>
      </c>
      <c r="BB50" s="26">
        <f t="shared" si="53"/>
        <v>1</v>
      </c>
      <c r="BC50" s="26">
        <f t="shared" si="76"/>
        <v>0</v>
      </c>
      <c r="BD50" s="26">
        <f t="shared" si="77"/>
        <v>0</v>
      </c>
      <c r="BE50" s="32">
        <f t="shared" si="78"/>
        <v>0</v>
      </c>
      <c r="BF50" s="29">
        <f t="shared" si="48"/>
        <v>0</v>
      </c>
      <c r="BG50" s="26">
        <f t="shared" si="62"/>
        <v>1</v>
      </c>
      <c r="BH50" s="26">
        <f t="shared" si="49"/>
        <v>2499</v>
      </c>
      <c r="BI50" s="42">
        <f t="shared" si="50"/>
        <v>5.2730869262610447E-2</v>
      </c>
      <c r="BJ50" s="28">
        <f t="shared" si="51"/>
        <v>0.21063042602293125</v>
      </c>
      <c r="BK50" s="26">
        <f t="shared" si="79"/>
        <v>0</v>
      </c>
      <c r="BL50" s="26">
        <f t="shared" si="80"/>
        <v>0</v>
      </c>
      <c r="BM50" s="26">
        <f t="shared" si="81"/>
        <v>0</v>
      </c>
      <c r="BN50" s="32">
        <f t="shared" si="82"/>
        <v>0</v>
      </c>
    </row>
    <row r="51" spans="21:66" x14ac:dyDescent="0.3">
      <c r="U51">
        <v>249</v>
      </c>
      <c r="V51" s="31">
        <f t="shared" si="18"/>
        <v>1.0080321285140563</v>
      </c>
      <c r="W51" s="26">
        <f t="shared" si="54"/>
        <v>1</v>
      </c>
      <c r="X51" s="26">
        <f t="shared" si="55"/>
        <v>749</v>
      </c>
      <c r="Y51" s="42">
        <f t="shared" si="56"/>
        <v>6.6378880520639214E-2</v>
      </c>
      <c r="Z51" s="28">
        <f t="shared" si="57"/>
        <v>0.31037604639567534</v>
      </c>
      <c r="AA51" s="26">
        <f t="shared" si="58"/>
        <v>0</v>
      </c>
      <c r="AB51" s="26">
        <f t="shared" si="63"/>
        <v>0</v>
      </c>
      <c r="AC51" s="26">
        <f t="shared" si="59"/>
        <v>0</v>
      </c>
      <c r="AD51" s="32">
        <f t="shared" si="60"/>
        <v>0</v>
      </c>
      <c r="AE51" s="31">
        <f t="shared" si="64"/>
        <v>1.0040160642570282</v>
      </c>
      <c r="AF51" s="26">
        <f t="shared" si="65"/>
        <v>1</v>
      </c>
      <c r="AG51" s="26">
        <f t="shared" si="40"/>
        <v>1248</v>
      </c>
      <c r="AH51" s="42">
        <f t="shared" si="66"/>
        <v>3.6361708894307149E-2</v>
      </c>
      <c r="AI51" s="28">
        <f t="shared" si="67"/>
        <v>0.20677409095727764</v>
      </c>
      <c r="AJ51" s="26">
        <f t="shared" si="68"/>
        <v>0</v>
      </c>
      <c r="AK51" s="26">
        <f t="shared" si="69"/>
        <v>0</v>
      </c>
      <c r="AL51" s="26">
        <f t="shared" si="70"/>
        <v>1</v>
      </c>
      <c r="AM51" s="32">
        <f t="shared" si="71"/>
        <v>0</v>
      </c>
      <c r="AN51" s="31">
        <f t="shared" si="43"/>
        <v>1.0120481927710843</v>
      </c>
      <c r="AO51" s="26">
        <f t="shared" si="83"/>
        <v>1</v>
      </c>
      <c r="AP51" s="26">
        <f t="shared" si="44"/>
        <v>1749</v>
      </c>
      <c r="AQ51" s="42">
        <f t="shared" si="84"/>
        <v>9.0355146201182526E-2</v>
      </c>
      <c r="AR51" s="28">
        <f t="shared" si="52"/>
        <v>0.15523066403893335</v>
      </c>
      <c r="AS51" s="26">
        <f t="shared" si="72"/>
        <v>0</v>
      </c>
      <c r="AT51" s="26">
        <f t="shared" si="73"/>
        <v>0</v>
      </c>
      <c r="AU51" s="26">
        <f t="shared" si="74"/>
        <v>0</v>
      </c>
      <c r="AV51" s="32">
        <f t="shared" si="75"/>
        <v>0</v>
      </c>
      <c r="AW51" s="31">
        <f t="shared" si="46"/>
        <v>4.0160642570281121E-3</v>
      </c>
      <c r="AX51" s="26">
        <f t="shared" si="61"/>
        <v>1</v>
      </c>
      <c r="AY51" s="26">
        <f t="shared" si="47"/>
        <v>1999</v>
      </c>
      <c r="AZ51" s="42">
        <f t="shared" si="85"/>
        <v>1.3683753258035996E-3</v>
      </c>
      <c r="BA51" s="28">
        <f t="shared" si="32"/>
        <v>0.12439183318853171</v>
      </c>
      <c r="BB51" s="26">
        <f t="shared" si="53"/>
        <v>1</v>
      </c>
      <c r="BC51" s="26">
        <f t="shared" si="76"/>
        <v>0</v>
      </c>
      <c r="BD51" s="26">
        <f t="shared" si="77"/>
        <v>0</v>
      </c>
      <c r="BE51" s="32">
        <f t="shared" si="78"/>
        <v>0</v>
      </c>
      <c r="BF51" s="29">
        <f t="shared" si="48"/>
        <v>0</v>
      </c>
      <c r="BG51" s="26">
        <f t="shared" si="62"/>
        <v>1</v>
      </c>
      <c r="BH51" s="26">
        <f t="shared" si="49"/>
        <v>2248</v>
      </c>
      <c r="BI51" s="42">
        <f t="shared" si="50"/>
        <v>5.3005604600901042E-2</v>
      </c>
      <c r="BJ51" s="28">
        <f t="shared" si="51"/>
        <v>0.10489395215941977</v>
      </c>
      <c r="BK51" s="26">
        <f t="shared" si="79"/>
        <v>0</v>
      </c>
      <c r="BL51" s="26">
        <f t="shared" si="80"/>
        <v>0</v>
      </c>
      <c r="BM51" s="26">
        <f t="shared" si="81"/>
        <v>1</v>
      </c>
      <c r="BN51" s="32">
        <f t="shared" si="82"/>
        <v>0</v>
      </c>
    </row>
    <row r="52" spans="21:66" x14ac:dyDescent="0.3">
      <c r="U52">
        <v>250</v>
      </c>
      <c r="V52" s="31">
        <f t="shared" si="18"/>
        <v>4.0000000000000001E-3</v>
      </c>
      <c r="W52" s="26">
        <f t="shared" si="54"/>
        <v>1</v>
      </c>
      <c r="X52" s="26">
        <f t="shared" si="55"/>
        <v>499</v>
      </c>
      <c r="Y52" s="42">
        <f t="shared" si="56"/>
        <v>0.37800141706248191</v>
      </c>
      <c r="Z52" s="28">
        <f t="shared" si="57"/>
        <v>0.31162253654184274</v>
      </c>
      <c r="AA52" s="26">
        <f t="shared" si="58"/>
        <v>0</v>
      </c>
      <c r="AB52" s="26">
        <f t="shared" si="63"/>
        <v>0</v>
      </c>
      <c r="AC52" s="26">
        <f t="shared" si="59"/>
        <v>0</v>
      </c>
      <c r="AD52" s="32">
        <f t="shared" si="60"/>
        <v>0</v>
      </c>
      <c r="AE52" s="31">
        <f t="shared" si="64"/>
        <v>1</v>
      </c>
      <c r="AF52" s="26">
        <f t="shared" si="65"/>
        <v>1</v>
      </c>
      <c r="AG52" s="26">
        <f t="shared" si="40"/>
        <v>999</v>
      </c>
      <c r="AH52" s="42">
        <f t="shared" si="66"/>
        <v>0.17041238206297049</v>
      </c>
      <c r="AI52" s="28">
        <f t="shared" si="67"/>
        <v>0.20760450899325064</v>
      </c>
      <c r="AJ52" s="26">
        <f t="shared" si="68"/>
        <v>0</v>
      </c>
      <c r="AK52" s="26">
        <f t="shared" si="69"/>
        <v>0</v>
      </c>
      <c r="AL52" s="26">
        <f t="shared" si="70"/>
        <v>1</v>
      </c>
      <c r="AM52" s="32">
        <f t="shared" si="71"/>
        <v>0</v>
      </c>
      <c r="AN52" s="31">
        <f t="shared" si="43"/>
        <v>0.996</v>
      </c>
      <c r="AO52" s="26">
        <f t="shared" si="83"/>
        <v>1</v>
      </c>
      <c r="AP52" s="26">
        <f t="shared" si="44"/>
        <v>1498</v>
      </c>
      <c r="AQ52" s="42">
        <f t="shared" si="84"/>
        <v>6.6122350480633835E-2</v>
      </c>
      <c r="AR52" s="28">
        <f t="shared" si="52"/>
        <v>0.15585408036037485</v>
      </c>
      <c r="AS52" s="26">
        <f t="shared" si="72"/>
        <v>0</v>
      </c>
      <c r="AT52" s="26">
        <f t="shared" si="73"/>
        <v>0</v>
      </c>
      <c r="AU52" s="26">
        <f t="shared" si="74"/>
        <v>0</v>
      </c>
      <c r="AV52" s="32">
        <f t="shared" si="75"/>
        <v>0</v>
      </c>
      <c r="AW52" s="31">
        <f t="shared" si="46"/>
        <v>1.004</v>
      </c>
      <c r="AX52" s="26">
        <f t="shared" si="61"/>
        <v>0</v>
      </c>
      <c r="AY52" s="26">
        <f t="shared" si="47"/>
        <v>1999</v>
      </c>
      <c r="AZ52" s="42">
        <f t="shared" si="85"/>
        <v>1.3683753258035996E-3</v>
      </c>
      <c r="BA52" s="28">
        <f t="shared" si="32"/>
        <v>0.12489139878366638</v>
      </c>
      <c r="BB52" s="26">
        <f t="shared" si="53"/>
        <v>1</v>
      </c>
      <c r="BC52" s="26">
        <f t="shared" si="76"/>
        <v>0</v>
      </c>
      <c r="BD52" s="26">
        <f t="shared" si="77"/>
        <v>0</v>
      </c>
      <c r="BE52" s="32">
        <f t="shared" si="78"/>
        <v>0</v>
      </c>
      <c r="BF52" s="29">
        <f t="shared" si="48"/>
        <v>0</v>
      </c>
      <c r="BG52" s="26">
        <f t="shared" si="62"/>
        <v>1</v>
      </c>
      <c r="BH52" s="26">
        <f t="shared" si="49"/>
        <v>2249</v>
      </c>
      <c r="BI52" s="42">
        <f t="shared" si="50"/>
        <v>5.2584343748855185E-2</v>
      </c>
      <c r="BJ52" s="28">
        <f t="shared" si="51"/>
        <v>0.10531521301146562</v>
      </c>
      <c r="BK52" s="26">
        <f t="shared" si="79"/>
        <v>0</v>
      </c>
      <c r="BL52" s="26">
        <f t="shared" si="80"/>
        <v>0</v>
      </c>
      <c r="BM52" s="26">
        <f t="shared" si="81"/>
        <v>1</v>
      </c>
      <c r="BN52" s="32">
        <f t="shared" si="82"/>
        <v>0</v>
      </c>
    </row>
    <row r="53" spans="21:66" x14ac:dyDescent="0.3">
      <c r="U53">
        <v>501</v>
      </c>
      <c r="V53" s="31">
        <f t="shared" si="18"/>
        <v>0.50099800399201599</v>
      </c>
      <c r="W53" s="26">
        <f t="shared" si="54"/>
        <v>1</v>
      </c>
      <c r="X53" s="26">
        <f t="shared" si="55"/>
        <v>751</v>
      </c>
      <c r="Y53" s="42">
        <f t="shared" si="56"/>
        <v>6.3885900228304468E-2</v>
      </c>
      <c r="Z53" s="28">
        <f t="shared" si="57"/>
        <v>0.62449156322985278</v>
      </c>
      <c r="AA53" s="26">
        <f t="shared" si="58"/>
        <v>0</v>
      </c>
      <c r="AB53" s="26">
        <f t="shared" si="63"/>
        <v>0</v>
      </c>
      <c r="AC53" s="26">
        <f t="shared" si="59"/>
        <v>0</v>
      </c>
      <c r="AD53" s="32">
        <f t="shared" si="60"/>
        <v>0</v>
      </c>
      <c r="AE53" s="31">
        <f t="shared" si="64"/>
        <v>0.50299401197604787</v>
      </c>
      <c r="AF53" s="26">
        <f t="shared" si="65"/>
        <v>1</v>
      </c>
      <c r="AG53" s="26">
        <f t="shared" si="40"/>
        <v>1000</v>
      </c>
      <c r="AH53" s="42">
        <f t="shared" si="66"/>
        <v>0.16958196402699749</v>
      </c>
      <c r="AI53" s="28">
        <f t="shared" si="67"/>
        <v>0.41603943602247428</v>
      </c>
      <c r="AJ53" s="26">
        <f t="shared" si="68"/>
        <v>0</v>
      </c>
      <c r="AK53" s="26">
        <f t="shared" si="69"/>
        <v>0</v>
      </c>
      <c r="AL53" s="26">
        <f t="shared" si="70"/>
        <v>0</v>
      </c>
      <c r="AM53" s="32">
        <f t="shared" si="71"/>
        <v>0</v>
      </c>
      <c r="AN53" s="31">
        <f t="shared" si="43"/>
        <v>1.996007984031936E-3</v>
      </c>
      <c r="AO53" s="26">
        <f t="shared" si="83"/>
        <v>1</v>
      </c>
      <c r="AP53" s="26">
        <f t="shared" si="44"/>
        <v>1500</v>
      </c>
      <c r="AQ53" s="42">
        <f t="shared" si="84"/>
        <v>6.4875517837750835E-2</v>
      </c>
      <c r="AR53" s="28">
        <f t="shared" si="52"/>
        <v>0.31233157704219122</v>
      </c>
      <c r="AS53" s="26">
        <f t="shared" si="72"/>
        <v>0</v>
      </c>
      <c r="AT53" s="26">
        <f t="shared" si="73"/>
        <v>0</v>
      </c>
      <c r="AU53" s="26">
        <f t="shared" si="74"/>
        <v>0</v>
      </c>
      <c r="AV53" s="32">
        <f t="shared" si="75"/>
        <v>0</v>
      </c>
      <c r="AW53" s="31">
        <f t="shared" si="46"/>
        <v>3.9920159680638719E-3</v>
      </c>
      <c r="AX53" s="26">
        <f t="shared" si="61"/>
        <v>1</v>
      </c>
      <c r="AY53" s="26">
        <f t="shared" si="47"/>
        <v>1999</v>
      </c>
      <c r="AZ53" s="42">
        <f t="shared" si="85"/>
        <v>1.3683753258035996E-3</v>
      </c>
      <c r="BA53" s="28">
        <f t="shared" si="32"/>
        <v>0.25028236316246744</v>
      </c>
      <c r="BB53" s="26">
        <f t="shared" si="53"/>
        <v>1</v>
      </c>
      <c r="BC53" s="26">
        <f t="shared" si="76"/>
        <v>0</v>
      </c>
      <c r="BD53" s="26">
        <f t="shared" si="77"/>
        <v>0</v>
      </c>
      <c r="BE53" s="32">
        <f t="shared" si="78"/>
        <v>0</v>
      </c>
      <c r="BF53" s="29">
        <f t="shared" si="48"/>
        <v>0</v>
      </c>
      <c r="BG53" s="26">
        <f t="shared" si="62"/>
        <v>1</v>
      </c>
      <c r="BH53" s="26">
        <f t="shared" si="49"/>
        <v>2500</v>
      </c>
      <c r="BI53" s="42">
        <f t="shared" si="50"/>
        <v>5.3152130114656311E-2</v>
      </c>
      <c r="BJ53" s="28">
        <f t="shared" si="51"/>
        <v>0.21105168687497713</v>
      </c>
      <c r="BK53" s="26">
        <f t="shared" si="79"/>
        <v>0</v>
      </c>
      <c r="BL53" s="26">
        <f t="shared" si="80"/>
        <v>0</v>
      </c>
      <c r="BM53" s="26">
        <f t="shared" si="81"/>
        <v>0</v>
      </c>
      <c r="BN53" s="32">
        <f t="shared" si="82"/>
        <v>0</v>
      </c>
    </row>
    <row r="54" spans="21:66" x14ac:dyDescent="0.3">
      <c r="U54" s="1">
        <v>499</v>
      </c>
      <c r="V54" s="31">
        <f t="shared" si="18"/>
        <v>4.0080160320641279E-3</v>
      </c>
      <c r="W54" s="26">
        <f t="shared" si="54"/>
        <v>1</v>
      </c>
      <c r="X54" s="26">
        <f t="shared" si="55"/>
        <v>1000</v>
      </c>
      <c r="Y54" s="42">
        <f t="shared" si="56"/>
        <v>0.24649014616737089</v>
      </c>
      <c r="Z54" s="28">
        <f t="shared" si="57"/>
        <v>0.62199858293751809</v>
      </c>
      <c r="AA54" s="26">
        <f t="shared" si="58"/>
        <v>0</v>
      </c>
      <c r="AB54" s="26">
        <f t="shared" si="63"/>
        <v>0</v>
      </c>
      <c r="AC54" s="26">
        <f t="shared" si="59"/>
        <v>0</v>
      </c>
      <c r="AD54" s="32">
        <f t="shared" si="60"/>
        <v>0</v>
      </c>
      <c r="AE54" s="31">
        <f t="shared" si="64"/>
        <v>0.49899799599198397</v>
      </c>
      <c r="AF54" s="26">
        <f t="shared" si="65"/>
        <v>1</v>
      </c>
      <c r="AG54" s="26">
        <f t="shared" si="40"/>
        <v>1250</v>
      </c>
      <c r="AH54" s="42">
        <f t="shared" si="66"/>
        <v>3.8022544966253152E-2</v>
      </c>
      <c r="AI54" s="28">
        <f t="shared" si="67"/>
        <v>0.41437859995052828</v>
      </c>
      <c r="AJ54" s="26">
        <f t="shared" si="68"/>
        <v>0</v>
      </c>
      <c r="AK54" s="26">
        <f t="shared" si="69"/>
        <v>0</v>
      </c>
      <c r="AL54" s="26">
        <f t="shared" si="70"/>
        <v>0</v>
      </c>
      <c r="AM54" s="32">
        <f t="shared" si="71"/>
        <v>0</v>
      </c>
      <c r="AN54" s="31">
        <f t="shared" si="43"/>
        <v>0.50100200400801598</v>
      </c>
      <c r="AO54" s="26">
        <f t="shared" si="83"/>
        <v>1</v>
      </c>
      <c r="AP54" s="26">
        <f t="shared" si="44"/>
        <v>1499</v>
      </c>
      <c r="AQ54" s="42">
        <f t="shared" si="84"/>
        <v>6.5498934159192335E-2</v>
      </c>
      <c r="AR54" s="28">
        <f t="shared" si="52"/>
        <v>0.31108474439930822</v>
      </c>
      <c r="AS54" s="26">
        <f t="shared" si="72"/>
        <v>0</v>
      </c>
      <c r="AT54" s="26">
        <f t="shared" si="73"/>
        <v>0</v>
      </c>
      <c r="AU54" s="26">
        <f t="shared" si="74"/>
        <v>0</v>
      </c>
      <c r="AV54" s="32">
        <f t="shared" si="75"/>
        <v>0</v>
      </c>
      <c r="AW54" s="31">
        <f t="shared" si="46"/>
        <v>2.004008016032064E-3</v>
      </c>
      <c r="AX54" s="26">
        <f t="shared" si="61"/>
        <v>1</v>
      </c>
      <c r="AY54" s="26">
        <f t="shared" si="47"/>
        <v>1999</v>
      </c>
      <c r="AZ54" s="42">
        <f t="shared" si="85"/>
        <v>1.3683753258035996E-3</v>
      </c>
      <c r="BA54" s="28">
        <f t="shared" si="32"/>
        <v>0.24928323197219809</v>
      </c>
      <c r="BB54" s="26">
        <f t="shared" si="53"/>
        <v>1</v>
      </c>
      <c r="BC54" s="26">
        <f t="shared" si="76"/>
        <v>0</v>
      </c>
      <c r="BD54" s="26">
        <f t="shared" si="77"/>
        <v>0</v>
      </c>
      <c r="BE54" s="32">
        <f t="shared" si="78"/>
        <v>0</v>
      </c>
      <c r="BF54" s="29">
        <f t="shared" si="48"/>
        <v>0</v>
      </c>
      <c r="BG54" s="26">
        <f t="shared" si="62"/>
        <v>1</v>
      </c>
      <c r="BH54" s="26">
        <f t="shared" si="49"/>
        <v>2498</v>
      </c>
      <c r="BI54" s="42">
        <f t="shared" si="50"/>
        <v>5.2309608410564583E-2</v>
      </c>
      <c r="BJ54" s="28">
        <f t="shared" si="51"/>
        <v>0.21020916517088539</v>
      </c>
      <c r="BK54" s="26">
        <f t="shared" si="79"/>
        <v>0</v>
      </c>
      <c r="BL54" s="26">
        <f t="shared" si="80"/>
        <v>0</v>
      </c>
      <c r="BM54" s="26">
        <f t="shared" si="81"/>
        <v>0</v>
      </c>
      <c r="BN54" s="32">
        <f t="shared" si="82"/>
        <v>0</v>
      </c>
    </row>
    <row r="55" spans="21:66" x14ac:dyDescent="0.3">
      <c r="U55">
        <v>500</v>
      </c>
      <c r="V55" s="31">
        <f t="shared" si="18"/>
        <v>2E-3</v>
      </c>
      <c r="W55" s="26">
        <f t="shared" si="54"/>
        <v>1</v>
      </c>
      <c r="X55" s="26">
        <f t="shared" si="55"/>
        <v>999</v>
      </c>
      <c r="Y55" s="42">
        <f t="shared" si="56"/>
        <v>0.24524365602120352</v>
      </c>
      <c r="Z55" s="28">
        <f t="shared" si="57"/>
        <v>0.62324507308368549</v>
      </c>
      <c r="AA55" s="26">
        <f t="shared" si="58"/>
        <v>0</v>
      </c>
      <c r="AB55" s="26">
        <f t="shared" si="63"/>
        <v>0</v>
      </c>
      <c r="AC55" s="26">
        <f t="shared" si="59"/>
        <v>0</v>
      </c>
      <c r="AD55" s="32">
        <f t="shared" si="60"/>
        <v>0</v>
      </c>
      <c r="AE55" s="31">
        <f t="shared" si="64"/>
        <v>2E-3</v>
      </c>
      <c r="AF55" s="26">
        <f t="shared" si="65"/>
        <v>1</v>
      </c>
      <c r="AG55" s="26">
        <f t="shared" si="40"/>
        <v>1500</v>
      </c>
      <c r="AH55" s="42">
        <f t="shared" si="66"/>
        <v>0.24562705395950379</v>
      </c>
      <c r="AI55" s="28">
        <f t="shared" si="67"/>
        <v>0.41520901798650128</v>
      </c>
      <c r="AJ55" s="26">
        <f t="shared" si="68"/>
        <v>0</v>
      </c>
      <c r="AK55" s="26">
        <f t="shared" si="69"/>
        <v>0</v>
      </c>
      <c r="AL55" s="26">
        <f t="shared" si="70"/>
        <v>0</v>
      </c>
      <c r="AM55" s="32">
        <f t="shared" si="71"/>
        <v>0</v>
      </c>
      <c r="AN55" s="31">
        <f t="shared" si="43"/>
        <v>0.5</v>
      </c>
      <c r="AO55" s="26">
        <f t="shared" si="83"/>
        <v>1</v>
      </c>
      <c r="AP55" s="26">
        <f t="shared" si="44"/>
        <v>1750</v>
      </c>
      <c r="AQ55" s="42">
        <f t="shared" si="84"/>
        <v>9.0978562522624012E-2</v>
      </c>
      <c r="AR55" s="28">
        <f t="shared" si="52"/>
        <v>0.31170816072074969</v>
      </c>
      <c r="AS55" s="26">
        <f t="shared" si="72"/>
        <v>0</v>
      </c>
      <c r="AT55" s="26">
        <f t="shared" si="73"/>
        <v>0</v>
      </c>
      <c r="AU55" s="26">
        <f t="shared" si="74"/>
        <v>0</v>
      </c>
      <c r="AV55" s="32">
        <f t="shared" si="75"/>
        <v>0</v>
      </c>
      <c r="AW55" s="31">
        <f t="shared" si="46"/>
        <v>0.502</v>
      </c>
      <c r="AX55" s="26">
        <f t="shared" si="61"/>
        <v>0</v>
      </c>
      <c r="AY55" s="26">
        <f t="shared" si="47"/>
        <v>1999</v>
      </c>
      <c r="AZ55" s="42">
        <f t="shared" si="85"/>
        <v>1.3683753258035996E-3</v>
      </c>
      <c r="BA55" s="28">
        <f t="shared" si="32"/>
        <v>0.24978279756733276</v>
      </c>
      <c r="BB55" s="26">
        <f t="shared" si="53"/>
        <v>1</v>
      </c>
      <c r="BC55" s="26">
        <f t="shared" si="76"/>
        <v>0</v>
      </c>
      <c r="BD55" s="26">
        <f t="shared" si="77"/>
        <v>0</v>
      </c>
      <c r="BE55" s="32">
        <f t="shared" si="78"/>
        <v>0</v>
      </c>
      <c r="BF55" s="29">
        <f t="shared" si="48"/>
        <v>0</v>
      </c>
      <c r="BG55" s="26">
        <f t="shared" si="62"/>
        <v>1</v>
      </c>
      <c r="BH55" s="26">
        <f t="shared" si="49"/>
        <v>2499</v>
      </c>
      <c r="BI55" s="42">
        <f t="shared" si="50"/>
        <v>5.2730869262610447E-2</v>
      </c>
      <c r="BJ55" s="28">
        <f t="shared" si="51"/>
        <v>0.21063042602293125</v>
      </c>
      <c r="BK55" s="26">
        <f t="shared" si="79"/>
        <v>0</v>
      </c>
      <c r="BL55" s="26">
        <f t="shared" si="80"/>
        <v>0</v>
      </c>
      <c r="BM55" s="26">
        <f t="shared" si="81"/>
        <v>0</v>
      </c>
      <c r="BN55" s="32">
        <f t="shared" si="82"/>
        <v>0</v>
      </c>
    </row>
    <row r="56" spans="21:66" x14ac:dyDescent="0.3">
      <c r="U56">
        <v>249</v>
      </c>
      <c r="V56" s="31">
        <f t="shared" si="18"/>
        <v>1.0080321285140563</v>
      </c>
      <c r="W56" s="26">
        <f t="shared" si="54"/>
        <v>1</v>
      </c>
      <c r="X56" s="26">
        <f t="shared" si="55"/>
        <v>749</v>
      </c>
      <c r="Y56" s="42">
        <f t="shared" si="56"/>
        <v>6.6378880520639214E-2</v>
      </c>
      <c r="Z56" s="28">
        <f t="shared" si="57"/>
        <v>0.31037604639567534</v>
      </c>
      <c r="AA56" s="26">
        <f t="shared" si="58"/>
        <v>0</v>
      </c>
      <c r="AB56" s="26">
        <f t="shared" si="63"/>
        <v>0</v>
      </c>
      <c r="AC56" s="26">
        <f t="shared" si="59"/>
        <v>0</v>
      </c>
      <c r="AD56" s="32">
        <f t="shared" si="60"/>
        <v>0</v>
      </c>
      <c r="AE56" s="31">
        <f t="shared" si="64"/>
        <v>1.0040160642570282</v>
      </c>
      <c r="AF56" s="26">
        <f t="shared" si="65"/>
        <v>1</v>
      </c>
      <c r="AG56" s="26">
        <f t="shared" si="40"/>
        <v>1248</v>
      </c>
      <c r="AH56" s="42">
        <f t="shared" si="66"/>
        <v>3.6361708894307149E-2</v>
      </c>
      <c r="AI56" s="28">
        <f t="shared" si="67"/>
        <v>0.20677409095727764</v>
      </c>
      <c r="AJ56" s="26">
        <f t="shared" si="68"/>
        <v>0</v>
      </c>
      <c r="AK56" s="26">
        <f t="shared" si="69"/>
        <v>0</v>
      </c>
      <c r="AL56" s="26">
        <f t="shared" si="70"/>
        <v>1</v>
      </c>
      <c r="AM56" s="32">
        <f t="shared" si="71"/>
        <v>0</v>
      </c>
      <c r="AN56" s="31">
        <f t="shared" si="43"/>
        <v>1.0120481927710843</v>
      </c>
      <c r="AO56" s="26">
        <f t="shared" si="83"/>
        <v>1</v>
      </c>
      <c r="AP56" s="26">
        <f t="shared" si="44"/>
        <v>1749</v>
      </c>
      <c r="AQ56" s="42">
        <f t="shared" si="84"/>
        <v>9.0355146201182526E-2</v>
      </c>
      <c r="AR56" s="28">
        <f t="shared" si="52"/>
        <v>0.15523066403893335</v>
      </c>
      <c r="AS56" s="26">
        <f t="shared" si="72"/>
        <v>0</v>
      </c>
      <c r="AT56" s="26">
        <f t="shared" si="73"/>
        <v>0</v>
      </c>
      <c r="AU56" s="26">
        <f t="shared" si="74"/>
        <v>0</v>
      </c>
      <c r="AV56" s="32">
        <f t="shared" si="75"/>
        <v>0</v>
      </c>
      <c r="AW56" s="31">
        <f t="shared" si="46"/>
        <v>4.0160642570281121E-3</v>
      </c>
      <c r="AX56" s="26">
        <f t="shared" si="61"/>
        <v>1</v>
      </c>
      <c r="AY56" s="26">
        <f t="shared" si="47"/>
        <v>1999</v>
      </c>
      <c r="AZ56" s="42">
        <f t="shared" si="85"/>
        <v>1.3683753258035996E-3</v>
      </c>
      <c r="BA56" s="28">
        <f t="shared" si="32"/>
        <v>0.12439183318853171</v>
      </c>
      <c r="BB56" s="26">
        <f t="shared" si="53"/>
        <v>1</v>
      </c>
      <c r="BC56" s="26">
        <f t="shared" si="76"/>
        <v>0</v>
      </c>
      <c r="BD56" s="26">
        <f t="shared" si="77"/>
        <v>0</v>
      </c>
      <c r="BE56" s="32">
        <f t="shared" si="78"/>
        <v>0</v>
      </c>
      <c r="BF56" s="29">
        <f t="shared" si="48"/>
        <v>0</v>
      </c>
      <c r="BG56" s="26">
        <f t="shared" si="62"/>
        <v>1</v>
      </c>
      <c r="BH56" s="26">
        <f t="shared" si="49"/>
        <v>2248</v>
      </c>
      <c r="BI56" s="42">
        <f t="shared" si="50"/>
        <v>5.3005604600901042E-2</v>
      </c>
      <c r="BJ56" s="28">
        <f t="shared" si="51"/>
        <v>0.10489395215941977</v>
      </c>
      <c r="BK56" s="26">
        <f t="shared" si="79"/>
        <v>0</v>
      </c>
      <c r="BL56" s="26">
        <f t="shared" si="80"/>
        <v>0</v>
      </c>
      <c r="BM56" s="26">
        <f t="shared" si="81"/>
        <v>1</v>
      </c>
      <c r="BN56" s="32">
        <f t="shared" si="82"/>
        <v>0</v>
      </c>
    </row>
    <row r="57" spans="21:66" x14ac:dyDescent="0.3">
      <c r="U57">
        <v>250</v>
      </c>
      <c r="V57" s="31">
        <f t="shared" si="18"/>
        <v>4.0000000000000001E-3</v>
      </c>
      <c r="W57" s="26">
        <f t="shared" si="54"/>
        <v>1</v>
      </c>
      <c r="X57" s="26">
        <f t="shared" si="55"/>
        <v>499</v>
      </c>
      <c r="Y57" s="42">
        <f t="shared" si="56"/>
        <v>0.37800141706248191</v>
      </c>
      <c r="Z57" s="28">
        <f t="shared" si="57"/>
        <v>0.31162253654184274</v>
      </c>
      <c r="AA57" s="26">
        <f t="shared" si="58"/>
        <v>0</v>
      </c>
      <c r="AB57" s="26">
        <f t="shared" si="63"/>
        <v>0</v>
      </c>
      <c r="AC57" s="26">
        <f t="shared" si="59"/>
        <v>0</v>
      </c>
      <c r="AD57" s="32">
        <f t="shared" si="60"/>
        <v>0</v>
      </c>
      <c r="AE57" s="31">
        <f t="shared" si="64"/>
        <v>1</v>
      </c>
      <c r="AF57" s="26">
        <f t="shared" si="65"/>
        <v>1</v>
      </c>
      <c r="AG57" s="26">
        <f t="shared" si="40"/>
        <v>999</v>
      </c>
      <c r="AH57" s="42">
        <f t="shared" si="66"/>
        <v>0.17041238206297049</v>
      </c>
      <c r="AI57" s="28">
        <f t="shared" si="67"/>
        <v>0.20760450899325064</v>
      </c>
      <c r="AJ57" s="26">
        <f t="shared" si="68"/>
        <v>0</v>
      </c>
      <c r="AK57" s="26">
        <f t="shared" si="69"/>
        <v>0</v>
      </c>
      <c r="AL57" s="26">
        <f t="shared" si="70"/>
        <v>1</v>
      </c>
      <c r="AM57" s="32">
        <f t="shared" si="71"/>
        <v>0</v>
      </c>
      <c r="AN57" s="31">
        <f t="shared" si="43"/>
        <v>0.996</v>
      </c>
      <c r="AO57" s="26">
        <f t="shared" si="83"/>
        <v>1</v>
      </c>
      <c r="AP57" s="26">
        <f t="shared" si="44"/>
        <v>1498</v>
      </c>
      <c r="AQ57" s="42">
        <f t="shared" si="84"/>
        <v>6.6122350480633835E-2</v>
      </c>
      <c r="AR57" s="28">
        <f t="shared" si="52"/>
        <v>0.15585408036037485</v>
      </c>
      <c r="AS57" s="26">
        <f t="shared" si="72"/>
        <v>0</v>
      </c>
      <c r="AT57" s="26">
        <f t="shared" si="73"/>
        <v>0</v>
      </c>
      <c r="AU57" s="26">
        <f t="shared" si="74"/>
        <v>0</v>
      </c>
      <c r="AV57" s="32">
        <f t="shared" si="75"/>
        <v>0</v>
      </c>
      <c r="AW57" s="31">
        <f t="shared" si="46"/>
        <v>1.004</v>
      </c>
      <c r="AX57" s="26">
        <f t="shared" si="61"/>
        <v>0</v>
      </c>
      <c r="AY57" s="26">
        <f t="shared" si="47"/>
        <v>1999</v>
      </c>
      <c r="AZ57" s="42">
        <f t="shared" si="85"/>
        <v>1.3683753258035996E-3</v>
      </c>
      <c r="BA57" s="28">
        <f t="shared" si="32"/>
        <v>0.12489139878366638</v>
      </c>
      <c r="BB57" s="26">
        <f t="shared" si="53"/>
        <v>1</v>
      </c>
      <c r="BC57" s="26">
        <f t="shared" si="76"/>
        <v>0</v>
      </c>
      <c r="BD57" s="26">
        <f t="shared" si="77"/>
        <v>0</v>
      </c>
      <c r="BE57" s="32">
        <f t="shared" si="78"/>
        <v>0</v>
      </c>
      <c r="BF57" s="29">
        <f t="shared" si="48"/>
        <v>0</v>
      </c>
      <c r="BG57" s="26">
        <f t="shared" si="62"/>
        <v>1</v>
      </c>
      <c r="BH57" s="26">
        <f t="shared" si="49"/>
        <v>2249</v>
      </c>
      <c r="BI57" s="42">
        <f t="shared" si="50"/>
        <v>5.2584343748855185E-2</v>
      </c>
      <c r="BJ57" s="28">
        <f t="shared" si="51"/>
        <v>0.10531521301146562</v>
      </c>
      <c r="BK57" s="26">
        <f t="shared" si="79"/>
        <v>0</v>
      </c>
      <c r="BL57" s="26">
        <f t="shared" si="80"/>
        <v>0</v>
      </c>
      <c r="BM57" s="26">
        <f t="shared" si="81"/>
        <v>1</v>
      </c>
      <c r="BN57" s="32">
        <f t="shared" si="82"/>
        <v>0</v>
      </c>
    </row>
    <row r="58" spans="21:66" x14ac:dyDescent="0.3">
      <c r="U58">
        <v>501</v>
      </c>
      <c r="V58" s="31">
        <f t="shared" si="18"/>
        <v>0.50099800399201599</v>
      </c>
      <c r="W58" s="26">
        <f t="shared" si="54"/>
        <v>1</v>
      </c>
      <c r="X58" s="26">
        <f t="shared" si="55"/>
        <v>751</v>
      </c>
      <c r="Y58" s="42">
        <f t="shared" si="56"/>
        <v>6.3885900228304468E-2</v>
      </c>
      <c r="Z58" s="28">
        <f t="shared" si="57"/>
        <v>0.62449156322985278</v>
      </c>
      <c r="AA58" s="26">
        <f t="shared" si="58"/>
        <v>0</v>
      </c>
      <c r="AB58" s="26">
        <f t="shared" si="63"/>
        <v>0</v>
      </c>
      <c r="AC58" s="26">
        <f t="shared" si="59"/>
        <v>0</v>
      </c>
      <c r="AD58" s="32">
        <f t="shared" si="60"/>
        <v>0</v>
      </c>
      <c r="AE58" s="31">
        <f t="shared" si="64"/>
        <v>0.50299401197604787</v>
      </c>
      <c r="AF58" s="26">
        <f t="shared" si="65"/>
        <v>1</v>
      </c>
      <c r="AG58" s="26">
        <f t="shared" si="40"/>
        <v>1000</v>
      </c>
      <c r="AH58" s="42">
        <f t="shared" si="66"/>
        <v>0.16958196402699749</v>
      </c>
      <c r="AI58" s="28">
        <f t="shared" si="67"/>
        <v>0.41603943602247428</v>
      </c>
      <c r="AJ58" s="26">
        <f t="shared" si="68"/>
        <v>0</v>
      </c>
      <c r="AK58" s="26">
        <f t="shared" si="69"/>
        <v>0</v>
      </c>
      <c r="AL58" s="26">
        <f t="shared" si="70"/>
        <v>0</v>
      </c>
      <c r="AM58" s="32">
        <f t="shared" si="71"/>
        <v>0</v>
      </c>
      <c r="AN58" s="31">
        <f t="shared" si="43"/>
        <v>1.996007984031936E-3</v>
      </c>
      <c r="AO58" s="26">
        <f t="shared" si="83"/>
        <v>1</v>
      </c>
      <c r="AP58" s="26">
        <f t="shared" si="44"/>
        <v>1500</v>
      </c>
      <c r="AQ58" s="42">
        <f t="shared" si="84"/>
        <v>6.4875517837750835E-2</v>
      </c>
      <c r="AR58" s="28">
        <f t="shared" si="52"/>
        <v>0.31233157704219122</v>
      </c>
      <c r="AS58" s="26">
        <f t="shared" si="72"/>
        <v>0</v>
      </c>
      <c r="AT58" s="26">
        <f t="shared" si="73"/>
        <v>0</v>
      </c>
      <c r="AU58" s="26">
        <f t="shared" si="74"/>
        <v>0</v>
      </c>
      <c r="AV58" s="32">
        <f t="shared" si="75"/>
        <v>0</v>
      </c>
      <c r="AW58" s="31">
        <f t="shared" si="46"/>
        <v>3.9920159680638719E-3</v>
      </c>
      <c r="AX58" s="26">
        <f t="shared" si="61"/>
        <v>1</v>
      </c>
      <c r="AY58" s="26">
        <f t="shared" si="47"/>
        <v>1999</v>
      </c>
      <c r="AZ58" s="42">
        <f t="shared" si="85"/>
        <v>1.3683753258035996E-3</v>
      </c>
      <c r="BA58" s="28">
        <f t="shared" si="32"/>
        <v>0.25028236316246744</v>
      </c>
      <c r="BB58" s="26">
        <f t="shared" si="53"/>
        <v>1</v>
      </c>
      <c r="BC58" s="26">
        <f t="shared" si="76"/>
        <v>0</v>
      </c>
      <c r="BD58" s="26">
        <f t="shared" si="77"/>
        <v>0</v>
      </c>
      <c r="BE58" s="32">
        <f t="shared" si="78"/>
        <v>0</v>
      </c>
      <c r="BF58" s="29">
        <f t="shared" si="48"/>
        <v>0</v>
      </c>
      <c r="BG58" s="26">
        <f t="shared" si="62"/>
        <v>1</v>
      </c>
      <c r="BH58" s="26">
        <f t="shared" si="49"/>
        <v>2500</v>
      </c>
      <c r="BI58" s="42">
        <f t="shared" si="50"/>
        <v>5.3152130114656311E-2</v>
      </c>
      <c r="BJ58" s="28">
        <f t="shared" si="51"/>
        <v>0.21105168687497713</v>
      </c>
      <c r="BK58" s="26">
        <f t="shared" si="79"/>
        <v>0</v>
      </c>
      <c r="BL58" s="26">
        <f t="shared" si="80"/>
        <v>0</v>
      </c>
      <c r="BM58" s="26">
        <f t="shared" si="81"/>
        <v>0</v>
      </c>
      <c r="BN58" s="32">
        <f t="shared" si="82"/>
        <v>0</v>
      </c>
    </row>
    <row r="59" spans="21:66" x14ac:dyDescent="0.3">
      <c r="U59" s="1">
        <v>499</v>
      </c>
      <c r="V59" s="31">
        <f t="shared" si="18"/>
        <v>4.0080160320641279E-3</v>
      </c>
      <c r="W59" s="26">
        <f t="shared" si="54"/>
        <v>1</v>
      </c>
      <c r="X59" s="26">
        <f t="shared" si="55"/>
        <v>1000</v>
      </c>
      <c r="Y59" s="42">
        <f t="shared" si="56"/>
        <v>0.24649014616737089</v>
      </c>
      <c r="Z59" s="28">
        <f t="shared" si="57"/>
        <v>0.62199858293751809</v>
      </c>
      <c r="AA59" s="26">
        <f t="shared" si="58"/>
        <v>0</v>
      </c>
      <c r="AB59" s="26">
        <f t="shared" si="63"/>
        <v>0</v>
      </c>
      <c r="AC59" s="26">
        <f t="shared" si="59"/>
        <v>0</v>
      </c>
      <c r="AD59" s="32">
        <f t="shared" si="60"/>
        <v>0</v>
      </c>
      <c r="AE59" s="31">
        <f t="shared" si="64"/>
        <v>0.49899799599198397</v>
      </c>
      <c r="AF59" s="26">
        <f t="shared" si="65"/>
        <v>1</v>
      </c>
      <c r="AG59" s="26">
        <f t="shared" si="40"/>
        <v>1250</v>
      </c>
      <c r="AH59" s="42">
        <f t="shared" si="66"/>
        <v>3.8022544966253152E-2</v>
      </c>
      <c r="AI59" s="28">
        <f t="shared" si="67"/>
        <v>0.41437859995052828</v>
      </c>
      <c r="AJ59" s="26">
        <f t="shared" si="68"/>
        <v>0</v>
      </c>
      <c r="AK59" s="26">
        <f t="shared" si="69"/>
        <v>0</v>
      </c>
      <c r="AL59" s="26">
        <f t="shared" si="70"/>
        <v>0</v>
      </c>
      <c r="AM59" s="32">
        <f t="shared" si="71"/>
        <v>0</v>
      </c>
      <c r="AN59" s="31">
        <f t="shared" si="43"/>
        <v>0.50100200400801598</v>
      </c>
      <c r="AO59" s="26">
        <f t="shared" si="83"/>
        <v>1</v>
      </c>
      <c r="AP59" s="26">
        <f t="shared" si="44"/>
        <v>1499</v>
      </c>
      <c r="AQ59" s="42">
        <f t="shared" si="84"/>
        <v>6.5498934159192335E-2</v>
      </c>
      <c r="AR59" s="28">
        <f t="shared" si="52"/>
        <v>0.31108474439930822</v>
      </c>
      <c r="AS59" s="26">
        <f t="shared" si="72"/>
        <v>0</v>
      </c>
      <c r="AT59" s="26">
        <f t="shared" si="73"/>
        <v>0</v>
      </c>
      <c r="AU59" s="26">
        <f t="shared" si="74"/>
        <v>0</v>
      </c>
      <c r="AV59" s="32">
        <f t="shared" si="75"/>
        <v>0</v>
      </c>
      <c r="AW59" s="31">
        <f t="shared" si="46"/>
        <v>2.004008016032064E-3</v>
      </c>
      <c r="AX59" s="26">
        <f t="shared" si="61"/>
        <v>1</v>
      </c>
      <c r="AY59" s="26">
        <f t="shared" si="47"/>
        <v>1999</v>
      </c>
      <c r="AZ59" s="42">
        <f t="shared" si="85"/>
        <v>1.3683753258035996E-3</v>
      </c>
      <c r="BA59" s="28">
        <f t="shared" si="32"/>
        <v>0.24928323197219809</v>
      </c>
      <c r="BB59" s="26">
        <f t="shared" si="53"/>
        <v>1</v>
      </c>
      <c r="BC59" s="26">
        <f t="shared" si="76"/>
        <v>0</v>
      </c>
      <c r="BD59" s="26">
        <f t="shared" si="77"/>
        <v>0</v>
      </c>
      <c r="BE59" s="32">
        <f t="shared" si="78"/>
        <v>0</v>
      </c>
      <c r="BF59" s="29">
        <f t="shared" si="48"/>
        <v>0</v>
      </c>
      <c r="BG59" s="26">
        <f t="shared" si="62"/>
        <v>1</v>
      </c>
      <c r="BH59" s="26">
        <f t="shared" si="49"/>
        <v>2498</v>
      </c>
      <c r="BI59" s="42">
        <f t="shared" si="50"/>
        <v>5.2309608410564583E-2</v>
      </c>
      <c r="BJ59" s="28">
        <f t="shared" si="51"/>
        <v>0.21020916517088539</v>
      </c>
      <c r="BK59" s="26">
        <f t="shared" si="79"/>
        <v>0</v>
      </c>
      <c r="BL59" s="26">
        <f t="shared" si="80"/>
        <v>0</v>
      </c>
      <c r="BM59" s="26">
        <f t="shared" si="81"/>
        <v>0</v>
      </c>
      <c r="BN59" s="32">
        <f t="shared" si="82"/>
        <v>0</v>
      </c>
    </row>
    <row r="60" spans="21:66" x14ac:dyDescent="0.3">
      <c r="U60">
        <v>500</v>
      </c>
      <c r="V60" s="31">
        <f t="shared" si="18"/>
        <v>2E-3</v>
      </c>
      <c r="W60" s="26">
        <f t="shared" si="54"/>
        <v>1</v>
      </c>
      <c r="X60" s="26">
        <f t="shared" si="55"/>
        <v>999</v>
      </c>
      <c r="Y60" s="42">
        <f t="shared" si="56"/>
        <v>0.24524365602120352</v>
      </c>
      <c r="Z60" s="28">
        <f t="shared" si="57"/>
        <v>0.62324507308368549</v>
      </c>
      <c r="AA60" s="26">
        <f t="shared" si="58"/>
        <v>0</v>
      </c>
      <c r="AB60" s="26">
        <f t="shared" si="63"/>
        <v>0</v>
      </c>
      <c r="AC60" s="26">
        <f t="shared" si="59"/>
        <v>0</v>
      </c>
      <c r="AD60" s="32">
        <f t="shared" si="60"/>
        <v>0</v>
      </c>
      <c r="AE60" s="31">
        <f t="shared" si="64"/>
        <v>2E-3</v>
      </c>
      <c r="AF60" s="26">
        <f t="shared" si="65"/>
        <v>1</v>
      </c>
      <c r="AG60" s="26">
        <f t="shared" si="40"/>
        <v>1500</v>
      </c>
      <c r="AH60" s="42">
        <f t="shared" si="66"/>
        <v>0.24562705395950379</v>
      </c>
      <c r="AI60" s="28">
        <f t="shared" si="67"/>
        <v>0.41520901798650128</v>
      </c>
      <c r="AJ60" s="26">
        <f t="shared" si="68"/>
        <v>0</v>
      </c>
      <c r="AK60" s="26">
        <f t="shared" si="69"/>
        <v>0</v>
      </c>
      <c r="AL60" s="26">
        <f t="shared" si="70"/>
        <v>0</v>
      </c>
      <c r="AM60" s="32">
        <f t="shared" si="71"/>
        <v>0</v>
      </c>
      <c r="AN60" s="31">
        <f t="shared" si="43"/>
        <v>0.5</v>
      </c>
      <c r="AO60" s="26">
        <f t="shared" si="83"/>
        <v>1</v>
      </c>
      <c r="AP60" s="26">
        <f t="shared" si="44"/>
        <v>1750</v>
      </c>
      <c r="AQ60" s="42">
        <f t="shared" si="84"/>
        <v>9.0978562522624012E-2</v>
      </c>
      <c r="AR60" s="28">
        <f t="shared" si="52"/>
        <v>0.31170816072074969</v>
      </c>
      <c r="AS60" s="26">
        <f t="shared" si="72"/>
        <v>0</v>
      </c>
      <c r="AT60" s="26">
        <f t="shared" si="73"/>
        <v>0</v>
      </c>
      <c r="AU60" s="26">
        <f t="shared" si="74"/>
        <v>0</v>
      </c>
      <c r="AV60" s="32">
        <f t="shared" si="75"/>
        <v>0</v>
      </c>
      <c r="AW60" s="31">
        <f t="shared" si="46"/>
        <v>0.502</v>
      </c>
      <c r="AX60" s="26">
        <f t="shared" si="61"/>
        <v>0</v>
      </c>
      <c r="AY60" s="26">
        <f t="shared" si="47"/>
        <v>1999</v>
      </c>
      <c r="AZ60" s="42">
        <f t="shared" si="85"/>
        <v>1.3683753258035996E-3</v>
      </c>
      <c r="BA60" s="28">
        <f t="shared" si="32"/>
        <v>0.24978279756733276</v>
      </c>
      <c r="BB60" s="26">
        <f t="shared" si="53"/>
        <v>1</v>
      </c>
      <c r="BC60" s="26">
        <f t="shared" si="76"/>
        <v>0</v>
      </c>
      <c r="BD60" s="26">
        <f t="shared" si="77"/>
        <v>0</v>
      </c>
      <c r="BE60" s="32">
        <f t="shared" si="78"/>
        <v>0</v>
      </c>
      <c r="BF60" s="29">
        <f t="shared" si="48"/>
        <v>0</v>
      </c>
      <c r="BG60" s="26">
        <f t="shared" si="62"/>
        <v>1</v>
      </c>
      <c r="BH60" s="26">
        <f t="shared" si="49"/>
        <v>2499</v>
      </c>
      <c r="BI60" s="42">
        <f t="shared" si="50"/>
        <v>5.2730869262610447E-2</v>
      </c>
      <c r="BJ60" s="28">
        <f t="shared" si="51"/>
        <v>0.21063042602293125</v>
      </c>
      <c r="BK60" s="26">
        <f t="shared" si="79"/>
        <v>0</v>
      </c>
      <c r="BL60" s="26">
        <f t="shared" si="80"/>
        <v>0</v>
      </c>
      <c r="BM60" s="26">
        <f t="shared" si="81"/>
        <v>0</v>
      </c>
      <c r="BN60" s="32">
        <f t="shared" si="82"/>
        <v>0</v>
      </c>
    </row>
    <row r="61" spans="21:66" x14ac:dyDescent="0.3">
      <c r="U61">
        <v>249</v>
      </c>
      <c r="V61" s="31">
        <f t="shared" si="18"/>
        <v>1.0080321285140563</v>
      </c>
      <c r="W61" s="26">
        <f t="shared" si="54"/>
        <v>1</v>
      </c>
      <c r="X61" s="26">
        <f t="shared" si="55"/>
        <v>749</v>
      </c>
      <c r="Y61" s="42">
        <f t="shared" si="56"/>
        <v>6.6378880520639214E-2</v>
      </c>
      <c r="Z61" s="28">
        <f t="shared" si="57"/>
        <v>0.31037604639567534</v>
      </c>
      <c r="AA61" s="26">
        <f t="shared" si="58"/>
        <v>0</v>
      </c>
      <c r="AB61" s="26">
        <f t="shared" si="63"/>
        <v>0</v>
      </c>
      <c r="AC61" s="26">
        <f t="shared" si="59"/>
        <v>0</v>
      </c>
      <c r="AD61" s="32">
        <f t="shared" si="60"/>
        <v>0</v>
      </c>
      <c r="AE61" s="31">
        <f t="shared" si="64"/>
        <v>1.0040160642570282</v>
      </c>
      <c r="AF61" s="26">
        <f t="shared" si="65"/>
        <v>1</v>
      </c>
      <c r="AG61" s="26">
        <f t="shared" si="40"/>
        <v>1248</v>
      </c>
      <c r="AH61" s="42">
        <f t="shared" si="66"/>
        <v>3.6361708894307149E-2</v>
      </c>
      <c r="AI61" s="28">
        <f t="shared" si="67"/>
        <v>0.20677409095727764</v>
      </c>
      <c r="AJ61" s="26">
        <f t="shared" si="68"/>
        <v>0</v>
      </c>
      <c r="AK61" s="26">
        <f t="shared" si="69"/>
        <v>0</v>
      </c>
      <c r="AL61" s="26">
        <f t="shared" si="70"/>
        <v>1</v>
      </c>
      <c r="AM61" s="32">
        <f t="shared" si="71"/>
        <v>0</v>
      </c>
      <c r="AN61" s="31">
        <f t="shared" si="43"/>
        <v>1.0120481927710843</v>
      </c>
      <c r="AO61" s="26">
        <f t="shared" si="83"/>
        <v>1</v>
      </c>
      <c r="AP61" s="26">
        <f t="shared" si="44"/>
        <v>1749</v>
      </c>
      <c r="AQ61" s="42">
        <f t="shared" si="84"/>
        <v>9.0355146201182526E-2</v>
      </c>
      <c r="AR61" s="28">
        <f t="shared" si="52"/>
        <v>0.15523066403893335</v>
      </c>
      <c r="AS61" s="26">
        <f t="shared" si="72"/>
        <v>0</v>
      </c>
      <c r="AT61" s="26">
        <f t="shared" si="73"/>
        <v>0</v>
      </c>
      <c r="AU61" s="26">
        <f t="shared" si="74"/>
        <v>0</v>
      </c>
      <c r="AV61" s="32">
        <f t="shared" si="75"/>
        <v>0</v>
      </c>
      <c r="AW61" s="31">
        <f t="shared" si="46"/>
        <v>4.0160642570281121E-3</v>
      </c>
      <c r="AX61" s="26">
        <f t="shared" si="61"/>
        <v>1</v>
      </c>
      <c r="AY61" s="26">
        <f t="shared" si="47"/>
        <v>1999</v>
      </c>
      <c r="AZ61" s="42">
        <f t="shared" si="85"/>
        <v>1.3683753258035996E-3</v>
      </c>
      <c r="BA61" s="28">
        <f t="shared" si="32"/>
        <v>0.12439183318853171</v>
      </c>
      <c r="BB61" s="26">
        <f t="shared" si="53"/>
        <v>1</v>
      </c>
      <c r="BC61" s="26">
        <f t="shared" si="76"/>
        <v>0</v>
      </c>
      <c r="BD61" s="26">
        <f t="shared" si="77"/>
        <v>0</v>
      </c>
      <c r="BE61" s="32">
        <f t="shared" si="78"/>
        <v>0</v>
      </c>
      <c r="BF61" s="29">
        <f t="shared" si="48"/>
        <v>0</v>
      </c>
      <c r="BG61" s="26">
        <f t="shared" si="62"/>
        <v>1</v>
      </c>
      <c r="BH61" s="26">
        <f t="shared" si="49"/>
        <v>2248</v>
      </c>
      <c r="BI61" s="42">
        <f t="shared" si="50"/>
        <v>5.3005604600901042E-2</v>
      </c>
      <c r="BJ61" s="28">
        <f t="shared" si="51"/>
        <v>0.10489395215941977</v>
      </c>
      <c r="BK61" s="26">
        <f t="shared" si="79"/>
        <v>0</v>
      </c>
      <c r="BL61" s="26">
        <f t="shared" si="80"/>
        <v>0</v>
      </c>
      <c r="BM61" s="26">
        <f t="shared" si="81"/>
        <v>1</v>
      </c>
      <c r="BN61" s="32">
        <f t="shared" si="82"/>
        <v>0</v>
      </c>
    </row>
    <row r="62" spans="21:66" x14ac:dyDescent="0.3">
      <c r="U62">
        <v>250</v>
      </c>
      <c r="V62" s="31">
        <f t="shared" si="18"/>
        <v>4.0000000000000001E-3</v>
      </c>
      <c r="W62" s="26">
        <f t="shared" si="54"/>
        <v>1</v>
      </c>
      <c r="X62" s="26">
        <f t="shared" si="55"/>
        <v>499</v>
      </c>
      <c r="Y62" s="42">
        <f t="shared" si="56"/>
        <v>0.37800141706248191</v>
      </c>
      <c r="Z62" s="28">
        <f t="shared" si="57"/>
        <v>0.31162253654184274</v>
      </c>
      <c r="AA62" s="26">
        <f t="shared" si="58"/>
        <v>0</v>
      </c>
      <c r="AB62" s="26">
        <f t="shared" si="63"/>
        <v>0</v>
      </c>
      <c r="AC62" s="26">
        <f t="shared" si="59"/>
        <v>0</v>
      </c>
      <c r="AD62" s="32">
        <f t="shared" si="60"/>
        <v>0</v>
      </c>
      <c r="AE62" s="31">
        <f t="shared" si="64"/>
        <v>1</v>
      </c>
      <c r="AF62" s="26">
        <f t="shared" si="65"/>
        <v>1</v>
      </c>
      <c r="AG62" s="26">
        <f t="shared" si="40"/>
        <v>999</v>
      </c>
      <c r="AH62" s="42">
        <f t="shared" si="66"/>
        <v>0.17041238206297049</v>
      </c>
      <c r="AI62" s="28">
        <f t="shared" si="67"/>
        <v>0.20760450899325064</v>
      </c>
      <c r="AJ62" s="26">
        <f t="shared" si="68"/>
        <v>0</v>
      </c>
      <c r="AK62" s="26">
        <f t="shared" si="69"/>
        <v>0</v>
      </c>
      <c r="AL62" s="26">
        <f t="shared" si="70"/>
        <v>1</v>
      </c>
      <c r="AM62" s="32">
        <f t="shared" si="71"/>
        <v>0</v>
      </c>
      <c r="AN62" s="31">
        <f t="shared" si="43"/>
        <v>0.996</v>
      </c>
      <c r="AO62" s="26">
        <f t="shared" si="83"/>
        <v>1</v>
      </c>
      <c r="AP62" s="26">
        <f t="shared" si="44"/>
        <v>1498</v>
      </c>
      <c r="AQ62" s="42">
        <f t="shared" si="84"/>
        <v>6.6122350480633835E-2</v>
      </c>
      <c r="AR62" s="28">
        <f t="shared" si="52"/>
        <v>0.15585408036037485</v>
      </c>
      <c r="AS62" s="26">
        <f t="shared" si="72"/>
        <v>0</v>
      </c>
      <c r="AT62" s="26">
        <f t="shared" si="73"/>
        <v>0</v>
      </c>
      <c r="AU62" s="26">
        <f t="shared" si="74"/>
        <v>0</v>
      </c>
      <c r="AV62" s="32">
        <f t="shared" si="75"/>
        <v>0</v>
      </c>
      <c r="AW62" s="31">
        <f t="shared" si="46"/>
        <v>1.004</v>
      </c>
      <c r="AX62" s="26">
        <f t="shared" si="61"/>
        <v>0</v>
      </c>
      <c r="AY62" s="26">
        <f t="shared" si="47"/>
        <v>1999</v>
      </c>
      <c r="AZ62" s="42">
        <f t="shared" si="85"/>
        <v>1.3683753258035996E-3</v>
      </c>
      <c r="BA62" s="28">
        <f t="shared" si="32"/>
        <v>0.12489139878366638</v>
      </c>
      <c r="BB62" s="26">
        <f t="shared" si="53"/>
        <v>1</v>
      </c>
      <c r="BC62" s="26">
        <f t="shared" si="76"/>
        <v>0</v>
      </c>
      <c r="BD62" s="26">
        <f t="shared" si="77"/>
        <v>0</v>
      </c>
      <c r="BE62" s="32">
        <f t="shared" si="78"/>
        <v>0</v>
      </c>
      <c r="BF62" s="29">
        <f t="shared" si="48"/>
        <v>0</v>
      </c>
      <c r="BG62" s="26">
        <f t="shared" si="62"/>
        <v>1</v>
      </c>
      <c r="BH62" s="26">
        <f t="shared" si="49"/>
        <v>2249</v>
      </c>
      <c r="BI62" s="42">
        <f t="shared" si="50"/>
        <v>5.2584343748855185E-2</v>
      </c>
      <c r="BJ62" s="28">
        <f t="shared" si="51"/>
        <v>0.10531521301146562</v>
      </c>
      <c r="BK62" s="26">
        <f t="shared" si="79"/>
        <v>0</v>
      </c>
      <c r="BL62" s="26">
        <f t="shared" si="80"/>
        <v>0</v>
      </c>
      <c r="BM62" s="26">
        <f t="shared" si="81"/>
        <v>1</v>
      </c>
      <c r="BN62" s="32">
        <f t="shared" si="82"/>
        <v>0</v>
      </c>
    </row>
    <row r="63" spans="21:66" x14ac:dyDescent="0.3">
      <c r="U63">
        <v>501</v>
      </c>
      <c r="V63" s="31">
        <f t="shared" si="18"/>
        <v>0.50099800399201599</v>
      </c>
      <c r="W63" s="26">
        <f t="shared" si="54"/>
        <v>1</v>
      </c>
      <c r="X63" s="26">
        <f t="shared" si="55"/>
        <v>751</v>
      </c>
      <c r="Y63" s="42">
        <f t="shared" si="56"/>
        <v>6.3885900228304468E-2</v>
      </c>
      <c r="Z63" s="28">
        <f t="shared" si="57"/>
        <v>0.62449156322985278</v>
      </c>
      <c r="AA63" s="26">
        <f t="shared" si="58"/>
        <v>0</v>
      </c>
      <c r="AB63" s="26">
        <f t="shared" si="63"/>
        <v>0</v>
      </c>
      <c r="AC63" s="26">
        <f t="shared" si="59"/>
        <v>0</v>
      </c>
      <c r="AD63" s="32">
        <f t="shared" si="60"/>
        <v>0</v>
      </c>
      <c r="AE63" s="31">
        <f t="shared" si="64"/>
        <v>0.50299401197604787</v>
      </c>
      <c r="AF63" s="26">
        <f t="shared" si="65"/>
        <v>1</v>
      </c>
      <c r="AG63" s="26">
        <f t="shared" si="40"/>
        <v>1000</v>
      </c>
      <c r="AH63" s="42">
        <f t="shared" si="66"/>
        <v>0.16958196402699749</v>
      </c>
      <c r="AI63" s="28">
        <f t="shared" si="67"/>
        <v>0.41603943602247428</v>
      </c>
      <c r="AJ63" s="26">
        <f t="shared" si="68"/>
        <v>0</v>
      </c>
      <c r="AK63" s="26">
        <f t="shared" si="69"/>
        <v>0</v>
      </c>
      <c r="AL63" s="26">
        <f t="shared" si="70"/>
        <v>0</v>
      </c>
      <c r="AM63" s="32">
        <f t="shared" si="71"/>
        <v>0</v>
      </c>
      <c r="AN63" s="31">
        <f t="shared" si="43"/>
        <v>1.996007984031936E-3</v>
      </c>
      <c r="AO63" s="26">
        <f t="shared" si="83"/>
        <v>1</v>
      </c>
      <c r="AP63" s="26">
        <f t="shared" si="44"/>
        <v>1500</v>
      </c>
      <c r="AQ63" s="42">
        <f t="shared" si="84"/>
        <v>6.4875517837750835E-2</v>
      </c>
      <c r="AR63" s="28">
        <f t="shared" si="52"/>
        <v>0.31233157704219122</v>
      </c>
      <c r="AS63" s="26">
        <f t="shared" si="72"/>
        <v>0</v>
      </c>
      <c r="AT63" s="26">
        <f t="shared" si="73"/>
        <v>0</v>
      </c>
      <c r="AU63" s="26">
        <f t="shared" si="74"/>
        <v>0</v>
      </c>
      <c r="AV63" s="32">
        <f t="shared" si="75"/>
        <v>0</v>
      </c>
      <c r="AW63" s="31">
        <f t="shared" si="46"/>
        <v>3.9920159680638719E-3</v>
      </c>
      <c r="AX63" s="26">
        <f t="shared" si="61"/>
        <v>1</v>
      </c>
      <c r="AY63" s="26">
        <f t="shared" si="47"/>
        <v>1999</v>
      </c>
      <c r="AZ63" s="42">
        <f t="shared" si="85"/>
        <v>1.3683753258035996E-3</v>
      </c>
      <c r="BA63" s="28">
        <f t="shared" si="32"/>
        <v>0.25028236316246744</v>
      </c>
      <c r="BB63" s="26">
        <f t="shared" si="53"/>
        <v>1</v>
      </c>
      <c r="BC63" s="26">
        <f t="shared" si="76"/>
        <v>0</v>
      </c>
      <c r="BD63" s="26">
        <f t="shared" si="77"/>
        <v>0</v>
      </c>
      <c r="BE63" s="32">
        <f t="shared" si="78"/>
        <v>0</v>
      </c>
      <c r="BF63" s="29">
        <f t="shared" si="48"/>
        <v>0</v>
      </c>
      <c r="BG63" s="26">
        <f t="shared" si="62"/>
        <v>1</v>
      </c>
      <c r="BH63" s="26">
        <f t="shared" si="49"/>
        <v>2500</v>
      </c>
      <c r="BI63" s="42">
        <f t="shared" si="50"/>
        <v>5.3152130114656311E-2</v>
      </c>
      <c r="BJ63" s="28">
        <f t="shared" si="51"/>
        <v>0.21105168687497713</v>
      </c>
      <c r="BK63" s="26">
        <f t="shared" si="79"/>
        <v>0</v>
      </c>
      <c r="BL63" s="26">
        <f t="shared" si="80"/>
        <v>0</v>
      </c>
      <c r="BM63" s="26">
        <f t="shared" si="81"/>
        <v>0</v>
      </c>
      <c r="BN63" s="32">
        <f t="shared" si="82"/>
        <v>0</v>
      </c>
    </row>
    <row r="64" spans="21:66" x14ac:dyDescent="0.3">
      <c r="U64" s="1">
        <v>499</v>
      </c>
      <c r="V64" s="31">
        <f t="shared" si="18"/>
        <v>4.0080160320641279E-3</v>
      </c>
      <c r="W64" s="26">
        <f t="shared" si="54"/>
        <v>1</v>
      </c>
      <c r="X64" s="26">
        <f t="shared" si="55"/>
        <v>1000</v>
      </c>
      <c r="Y64" s="42">
        <f t="shared" si="56"/>
        <v>0.24649014616737089</v>
      </c>
      <c r="Z64" s="28">
        <f t="shared" si="57"/>
        <v>0.62199858293751809</v>
      </c>
      <c r="AA64" s="26">
        <f t="shared" si="58"/>
        <v>0</v>
      </c>
      <c r="AB64" s="26">
        <f t="shared" si="63"/>
        <v>0</v>
      </c>
      <c r="AC64" s="26">
        <f t="shared" si="59"/>
        <v>0</v>
      </c>
      <c r="AD64" s="32">
        <f t="shared" si="60"/>
        <v>0</v>
      </c>
      <c r="AE64" s="31">
        <f t="shared" si="64"/>
        <v>0.49899799599198397</v>
      </c>
      <c r="AF64" s="26">
        <f t="shared" si="65"/>
        <v>1</v>
      </c>
      <c r="AG64" s="26">
        <f t="shared" si="40"/>
        <v>1250</v>
      </c>
      <c r="AH64" s="42">
        <f t="shared" si="66"/>
        <v>3.8022544966253152E-2</v>
      </c>
      <c r="AI64" s="28">
        <f t="shared" si="67"/>
        <v>0.41437859995052828</v>
      </c>
      <c r="AJ64" s="26">
        <f t="shared" si="68"/>
        <v>0</v>
      </c>
      <c r="AK64" s="26">
        <f t="shared" si="69"/>
        <v>0</v>
      </c>
      <c r="AL64" s="26">
        <f t="shared" si="70"/>
        <v>0</v>
      </c>
      <c r="AM64" s="32">
        <f t="shared" si="71"/>
        <v>0</v>
      </c>
      <c r="AN64" s="31">
        <f t="shared" si="43"/>
        <v>0.50100200400801598</v>
      </c>
      <c r="AO64" s="26">
        <f t="shared" si="83"/>
        <v>1</v>
      </c>
      <c r="AP64" s="26">
        <f t="shared" si="44"/>
        <v>1499</v>
      </c>
      <c r="AQ64" s="42">
        <f t="shared" si="84"/>
        <v>6.5498934159192335E-2</v>
      </c>
      <c r="AR64" s="28">
        <f t="shared" si="52"/>
        <v>0.31108474439930822</v>
      </c>
      <c r="AS64" s="26">
        <f t="shared" si="72"/>
        <v>0</v>
      </c>
      <c r="AT64" s="26">
        <f t="shared" si="73"/>
        <v>0</v>
      </c>
      <c r="AU64" s="26">
        <f t="shared" si="74"/>
        <v>0</v>
      </c>
      <c r="AV64" s="32">
        <f t="shared" si="75"/>
        <v>0</v>
      </c>
      <c r="AW64" s="31">
        <f t="shared" si="46"/>
        <v>2.004008016032064E-3</v>
      </c>
      <c r="AX64" s="26">
        <f t="shared" si="61"/>
        <v>1</v>
      </c>
      <c r="AY64" s="26">
        <f t="shared" si="47"/>
        <v>1999</v>
      </c>
      <c r="AZ64" s="42">
        <f t="shared" si="85"/>
        <v>1.3683753258035996E-3</v>
      </c>
      <c r="BA64" s="28">
        <f t="shared" si="32"/>
        <v>0.24928323197219809</v>
      </c>
      <c r="BB64" s="26">
        <f t="shared" si="53"/>
        <v>1</v>
      </c>
      <c r="BC64" s="26">
        <f t="shared" si="76"/>
        <v>0</v>
      </c>
      <c r="BD64" s="26">
        <f t="shared" si="77"/>
        <v>0</v>
      </c>
      <c r="BE64" s="32">
        <f t="shared" si="78"/>
        <v>0</v>
      </c>
      <c r="BF64" s="29">
        <f t="shared" si="48"/>
        <v>0</v>
      </c>
      <c r="BG64" s="26">
        <f t="shared" si="62"/>
        <v>1</v>
      </c>
      <c r="BH64" s="26">
        <f t="shared" si="49"/>
        <v>2498</v>
      </c>
      <c r="BI64" s="42">
        <f t="shared" si="50"/>
        <v>5.2309608410564583E-2</v>
      </c>
      <c r="BJ64" s="28">
        <f t="shared" si="51"/>
        <v>0.21020916517088539</v>
      </c>
      <c r="BK64" s="26">
        <f t="shared" si="79"/>
        <v>0</v>
      </c>
      <c r="BL64" s="26">
        <f t="shared" si="80"/>
        <v>0</v>
      </c>
      <c r="BM64" s="26">
        <f t="shared" si="81"/>
        <v>0</v>
      </c>
      <c r="BN64" s="32">
        <f t="shared" si="82"/>
        <v>0</v>
      </c>
    </row>
    <row r="65" spans="21:66" x14ac:dyDescent="0.3">
      <c r="U65">
        <v>500</v>
      </c>
      <c r="V65" s="31">
        <f t="shared" si="18"/>
        <v>2E-3</v>
      </c>
      <c r="W65" s="26">
        <f t="shared" si="54"/>
        <v>1</v>
      </c>
      <c r="X65" s="26">
        <f t="shared" si="55"/>
        <v>999</v>
      </c>
      <c r="Y65" s="42">
        <f t="shared" si="56"/>
        <v>0.24524365602120352</v>
      </c>
      <c r="Z65" s="28">
        <f t="shared" si="57"/>
        <v>0.62324507308368549</v>
      </c>
      <c r="AA65" s="26">
        <f t="shared" si="58"/>
        <v>0</v>
      </c>
      <c r="AB65" s="26">
        <f t="shared" si="63"/>
        <v>0</v>
      </c>
      <c r="AC65" s="26">
        <f t="shared" si="59"/>
        <v>0</v>
      </c>
      <c r="AD65" s="32">
        <f t="shared" si="60"/>
        <v>0</v>
      </c>
      <c r="AE65" s="31">
        <f t="shared" si="64"/>
        <v>2E-3</v>
      </c>
      <c r="AF65" s="26">
        <f t="shared" si="65"/>
        <v>1</v>
      </c>
      <c r="AG65" s="26">
        <f t="shared" si="40"/>
        <v>1500</v>
      </c>
      <c r="AH65" s="42">
        <f t="shared" si="66"/>
        <v>0.24562705395950379</v>
      </c>
      <c r="AI65" s="28">
        <f t="shared" si="67"/>
        <v>0.41520901798650128</v>
      </c>
      <c r="AJ65" s="26">
        <f t="shared" si="68"/>
        <v>0</v>
      </c>
      <c r="AK65" s="26">
        <f t="shared" si="69"/>
        <v>0</v>
      </c>
      <c r="AL65" s="26">
        <f t="shared" si="70"/>
        <v>0</v>
      </c>
      <c r="AM65" s="32">
        <f t="shared" si="71"/>
        <v>0</v>
      </c>
      <c r="AN65" s="31">
        <f t="shared" si="43"/>
        <v>0.5</v>
      </c>
      <c r="AO65" s="26">
        <f t="shared" si="83"/>
        <v>1</v>
      </c>
      <c r="AP65" s="26">
        <f t="shared" si="44"/>
        <v>1750</v>
      </c>
      <c r="AQ65" s="42">
        <f t="shared" si="84"/>
        <v>9.0978562522624012E-2</v>
      </c>
      <c r="AR65" s="28">
        <f t="shared" si="52"/>
        <v>0.31170816072074969</v>
      </c>
      <c r="AS65" s="26">
        <f t="shared" si="72"/>
        <v>0</v>
      </c>
      <c r="AT65" s="26">
        <f t="shared" si="73"/>
        <v>0</v>
      </c>
      <c r="AU65" s="26">
        <f t="shared" si="74"/>
        <v>0</v>
      </c>
      <c r="AV65" s="32">
        <f t="shared" si="75"/>
        <v>0</v>
      </c>
      <c r="AW65" s="31">
        <f t="shared" si="46"/>
        <v>0.502</v>
      </c>
      <c r="AX65" s="26">
        <f t="shared" si="61"/>
        <v>0</v>
      </c>
      <c r="AY65" s="26">
        <f t="shared" si="47"/>
        <v>1999</v>
      </c>
      <c r="AZ65" s="42">
        <f t="shared" si="85"/>
        <v>1.3683753258035996E-3</v>
      </c>
      <c r="BA65" s="28">
        <f t="shared" si="32"/>
        <v>0.24978279756733276</v>
      </c>
      <c r="BB65" s="26">
        <f t="shared" si="53"/>
        <v>1</v>
      </c>
      <c r="BC65" s="26">
        <f t="shared" si="76"/>
        <v>0</v>
      </c>
      <c r="BD65" s="26">
        <f t="shared" si="77"/>
        <v>0</v>
      </c>
      <c r="BE65" s="32">
        <f t="shared" si="78"/>
        <v>0</v>
      </c>
      <c r="BF65" s="29">
        <f t="shared" si="48"/>
        <v>0</v>
      </c>
      <c r="BG65" s="26">
        <f t="shared" si="62"/>
        <v>1</v>
      </c>
      <c r="BH65" s="26">
        <f t="shared" si="49"/>
        <v>2499</v>
      </c>
      <c r="BI65" s="42">
        <f t="shared" si="50"/>
        <v>5.2730869262610447E-2</v>
      </c>
      <c r="BJ65" s="28">
        <f t="shared" si="51"/>
        <v>0.21063042602293125</v>
      </c>
      <c r="BK65" s="26">
        <f t="shared" si="79"/>
        <v>0</v>
      </c>
      <c r="BL65" s="26">
        <f t="shared" si="80"/>
        <v>0</v>
      </c>
      <c r="BM65" s="26">
        <f t="shared" si="81"/>
        <v>0</v>
      </c>
      <c r="BN65" s="32">
        <f t="shared" si="82"/>
        <v>0</v>
      </c>
    </row>
    <row r="66" spans="21:66" x14ac:dyDescent="0.3">
      <c r="U66">
        <v>249</v>
      </c>
      <c r="V66" s="31">
        <f t="shared" si="18"/>
        <v>1.0080321285140563</v>
      </c>
      <c r="W66" s="26">
        <f t="shared" si="54"/>
        <v>1</v>
      </c>
      <c r="X66" s="26">
        <f t="shared" si="55"/>
        <v>749</v>
      </c>
      <c r="Y66" s="42">
        <f t="shared" si="56"/>
        <v>6.6378880520639214E-2</v>
      </c>
      <c r="Z66" s="28">
        <f t="shared" si="57"/>
        <v>0.31037604639567534</v>
      </c>
      <c r="AA66" s="26">
        <f t="shared" si="58"/>
        <v>0</v>
      </c>
      <c r="AB66" s="26">
        <f t="shared" si="63"/>
        <v>0</v>
      </c>
      <c r="AC66" s="26">
        <f t="shared" si="59"/>
        <v>0</v>
      </c>
      <c r="AD66" s="32">
        <f t="shared" si="60"/>
        <v>0</v>
      </c>
      <c r="AE66" s="31">
        <f t="shared" si="64"/>
        <v>1.0040160642570282</v>
      </c>
      <c r="AF66" s="26">
        <f t="shared" si="65"/>
        <v>1</v>
      </c>
      <c r="AG66" s="26">
        <f t="shared" si="40"/>
        <v>1248</v>
      </c>
      <c r="AH66" s="42">
        <f t="shared" si="66"/>
        <v>3.6361708894307149E-2</v>
      </c>
      <c r="AI66" s="28">
        <f t="shared" si="67"/>
        <v>0.20677409095727764</v>
      </c>
      <c r="AJ66" s="26">
        <f t="shared" si="68"/>
        <v>0</v>
      </c>
      <c r="AK66" s="26">
        <f t="shared" si="69"/>
        <v>0</v>
      </c>
      <c r="AL66" s="26">
        <f t="shared" si="70"/>
        <v>1</v>
      </c>
      <c r="AM66" s="32">
        <f t="shared" si="71"/>
        <v>0</v>
      </c>
      <c r="AN66" s="31">
        <f t="shared" si="43"/>
        <v>1.0120481927710843</v>
      </c>
      <c r="AO66" s="26">
        <f t="shared" si="83"/>
        <v>1</v>
      </c>
      <c r="AP66" s="26">
        <f t="shared" si="44"/>
        <v>1749</v>
      </c>
      <c r="AQ66" s="42">
        <f t="shared" si="84"/>
        <v>9.0355146201182526E-2</v>
      </c>
      <c r="AR66" s="28">
        <f t="shared" si="52"/>
        <v>0.15523066403893335</v>
      </c>
      <c r="AS66" s="26">
        <f t="shared" si="72"/>
        <v>0</v>
      </c>
      <c r="AT66" s="26">
        <f t="shared" si="73"/>
        <v>0</v>
      </c>
      <c r="AU66" s="26">
        <f t="shared" si="74"/>
        <v>0</v>
      </c>
      <c r="AV66" s="32">
        <f t="shared" si="75"/>
        <v>0</v>
      </c>
      <c r="AW66" s="31">
        <f t="shared" si="46"/>
        <v>4.0160642570281121E-3</v>
      </c>
      <c r="AX66" s="26">
        <f t="shared" si="61"/>
        <v>1</v>
      </c>
      <c r="AY66" s="26">
        <f t="shared" si="47"/>
        <v>1999</v>
      </c>
      <c r="AZ66" s="42">
        <f t="shared" si="85"/>
        <v>1.3683753258035996E-3</v>
      </c>
      <c r="BA66" s="28">
        <f t="shared" si="32"/>
        <v>0.12439183318853171</v>
      </c>
      <c r="BB66" s="26">
        <f t="shared" si="53"/>
        <v>1</v>
      </c>
      <c r="BC66" s="26">
        <f t="shared" si="76"/>
        <v>0</v>
      </c>
      <c r="BD66" s="26">
        <f t="shared" si="77"/>
        <v>0</v>
      </c>
      <c r="BE66" s="32">
        <f t="shared" si="78"/>
        <v>0</v>
      </c>
      <c r="BF66" s="29">
        <f t="shared" si="48"/>
        <v>0</v>
      </c>
      <c r="BG66" s="26">
        <f t="shared" si="62"/>
        <v>1</v>
      </c>
      <c r="BH66" s="26">
        <f t="shared" si="49"/>
        <v>2248</v>
      </c>
      <c r="BI66" s="42">
        <f t="shared" si="50"/>
        <v>5.3005604600901042E-2</v>
      </c>
      <c r="BJ66" s="28">
        <f t="shared" si="51"/>
        <v>0.10489395215941977</v>
      </c>
      <c r="BK66" s="26">
        <f t="shared" si="79"/>
        <v>0</v>
      </c>
      <c r="BL66" s="26">
        <f t="shared" si="80"/>
        <v>0</v>
      </c>
      <c r="BM66" s="26">
        <f t="shared" si="81"/>
        <v>1</v>
      </c>
      <c r="BN66" s="32">
        <f t="shared" si="82"/>
        <v>0</v>
      </c>
    </row>
    <row r="67" spans="21:66" x14ac:dyDescent="0.3">
      <c r="U67">
        <v>250</v>
      </c>
      <c r="V67" s="31">
        <f t="shared" si="18"/>
        <v>4.0000000000000001E-3</v>
      </c>
      <c r="W67" s="26">
        <f t="shared" si="54"/>
        <v>1</v>
      </c>
      <c r="X67" s="26">
        <f t="shared" si="55"/>
        <v>499</v>
      </c>
      <c r="Y67" s="42">
        <f t="shared" si="56"/>
        <v>0.37800141706248191</v>
      </c>
      <c r="Z67" s="28">
        <f t="shared" si="57"/>
        <v>0.31162253654184274</v>
      </c>
      <c r="AA67" s="26">
        <f t="shared" si="58"/>
        <v>0</v>
      </c>
      <c r="AB67" s="26">
        <f t="shared" si="63"/>
        <v>0</v>
      </c>
      <c r="AC67" s="26">
        <f t="shared" si="59"/>
        <v>0</v>
      </c>
      <c r="AD67" s="32">
        <f t="shared" si="60"/>
        <v>0</v>
      </c>
      <c r="AE67" s="31">
        <f t="shared" si="64"/>
        <v>1</v>
      </c>
      <c r="AF67" s="26">
        <f t="shared" si="65"/>
        <v>1</v>
      </c>
      <c r="AG67" s="26">
        <f t="shared" si="40"/>
        <v>999</v>
      </c>
      <c r="AH67" s="42">
        <f t="shared" si="66"/>
        <v>0.17041238206297049</v>
      </c>
      <c r="AI67" s="28">
        <f t="shared" si="67"/>
        <v>0.20760450899325064</v>
      </c>
      <c r="AJ67" s="26">
        <f t="shared" si="68"/>
        <v>0</v>
      </c>
      <c r="AK67" s="26">
        <f t="shared" si="69"/>
        <v>0</v>
      </c>
      <c r="AL67" s="26">
        <f t="shared" si="70"/>
        <v>1</v>
      </c>
      <c r="AM67" s="32">
        <f t="shared" si="71"/>
        <v>0</v>
      </c>
      <c r="AN67" s="31">
        <f t="shared" si="43"/>
        <v>0.996</v>
      </c>
      <c r="AO67" s="26">
        <f t="shared" si="83"/>
        <v>1</v>
      </c>
      <c r="AP67" s="26">
        <f t="shared" si="44"/>
        <v>1498</v>
      </c>
      <c r="AQ67" s="42">
        <f t="shared" si="84"/>
        <v>6.6122350480633835E-2</v>
      </c>
      <c r="AR67" s="28">
        <f t="shared" si="52"/>
        <v>0.15585408036037485</v>
      </c>
      <c r="AS67" s="26">
        <f t="shared" si="72"/>
        <v>0</v>
      </c>
      <c r="AT67" s="26">
        <f t="shared" si="73"/>
        <v>0</v>
      </c>
      <c r="AU67" s="26">
        <f t="shared" si="74"/>
        <v>0</v>
      </c>
      <c r="AV67" s="32">
        <f t="shared" si="75"/>
        <v>0</v>
      </c>
      <c r="AW67" s="31">
        <f t="shared" si="46"/>
        <v>1.004</v>
      </c>
      <c r="AX67" s="26">
        <f t="shared" si="61"/>
        <v>0</v>
      </c>
      <c r="AY67" s="26">
        <f t="shared" si="47"/>
        <v>1999</v>
      </c>
      <c r="AZ67" s="42">
        <f t="shared" si="85"/>
        <v>1.3683753258035996E-3</v>
      </c>
      <c r="BA67" s="28">
        <f t="shared" si="32"/>
        <v>0.12489139878366638</v>
      </c>
      <c r="BB67" s="26">
        <f t="shared" si="53"/>
        <v>1</v>
      </c>
      <c r="BC67" s="26">
        <f t="shared" si="76"/>
        <v>0</v>
      </c>
      <c r="BD67" s="26">
        <f t="shared" si="77"/>
        <v>0</v>
      </c>
      <c r="BE67" s="32">
        <f t="shared" si="78"/>
        <v>0</v>
      </c>
      <c r="BF67" s="29">
        <f t="shared" si="48"/>
        <v>0</v>
      </c>
      <c r="BG67" s="26">
        <f t="shared" si="62"/>
        <v>1</v>
      </c>
      <c r="BH67" s="26">
        <f t="shared" si="49"/>
        <v>2249</v>
      </c>
      <c r="BI67" s="42">
        <f t="shared" si="50"/>
        <v>5.2584343748855185E-2</v>
      </c>
      <c r="BJ67" s="28">
        <f t="shared" si="51"/>
        <v>0.10531521301146562</v>
      </c>
      <c r="BK67" s="26">
        <f t="shared" si="79"/>
        <v>0</v>
      </c>
      <c r="BL67" s="26">
        <f t="shared" si="80"/>
        <v>0</v>
      </c>
      <c r="BM67" s="26">
        <f t="shared" si="81"/>
        <v>1</v>
      </c>
      <c r="BN67" s="32">
        <f t="shared" si="82"/>
        <v>0</v>
      </c>
    </row>
    <row r="68" spans="21:66" x14ac:dyDescent="0.3">
      <c r="U68">
        <v>501</v>
      </c>
      <c r="V68" s="31">
        <f t="shared" si="18"/>
        <v>0.50099800399201599</v>
      </c>
      <c r="W68" s="26">
        <f t="shared" si="54"/>
        <v>1</v>
      </c>
      <c r="X68" s="26">
        <f t="shared" si="55"/>
        <v>751</v>
      </c>
      <c r="Y68" s="42">
        <f t="shared" si="56"/>
        <v>6.3885900228304468E-2</v>
      </c>
      <c r="Z68" s="28">
        <f t="shared" si="57"/>
        <v>0.62449156322985278</v>
      </c>
      <c r="AA68" s="26">
        <f t="shared" si="58"/>
        <v>0</v>
      </c>
      <c r="AB68" s="26">
        <f t="shared" si="63"/>
        <v>0</v>
      </c>
      <c r="AC68" s="26">
        <f t="shared" si="59"/>
        <v>0</v>
      </c>
      <c r="AD68" s="32">
        <f t="shared" si="60"/>
        <v>0</v>
      </c>
      <c r="AE68" s="31">
        <f t="shared" si="64"/>
        <v>0.50299401197604787</v>
      </c>
      <c r="AF68" s="26">
        <f t="shared" si="65"/>
        <v>1</v>
      </c>
      <c r="AG68" s="26">
        <f t="shared" si="40"/>
        <v>1000</v>
      </c>
      <c r="AH68" s="42">
        <f t="shared" si="66"/>
        <v>0.16958196402699749</v>
      </c>
      <c r="AI68" s="28">
        <f t="shared" si="67"/>
        <v>0.41603943602247428</v>
      </c>
      <c r="AJ68" s="26">
        <f t="shared" si="68"/>
        <v>0</v>
      </c>
      <c r="AK68" s="26">
        <f t="shared" si="69"/>
        <v>0</v>
      </c>
      <c r="AL68" s="26">
        <f t="shared" si="70"/>
        <v>0</v>
      </c>
      <c r="AM68" s="32">
        <f t="shared" si="71"/>
        <v>0</v>
      </c>
      <c r="AN68" s="31">
        <f t="shared" si="43"/>
        <v>1.996007984031936E-3</v>
      </c>
      <c r="AO68" s="26">
        <f t="shared" si="83"/>
        <v>1</v>
      </c>
      <c r="AP68" s="26">
        <f t="shared" si="44"/>
        <v>1500</v>
      </c>
      <c r="AQ68" s="42">
        <f t="shared" si="84"/>
        <v>6.4875517837750835E-2</v>
      </c>
      <c r="AR68" s="28">
        <f t="shared" si="52"/>
        <v>0.31233157704219122</v>
      </c>
      <c r="AS68" s="26">
        <f t="shared" si="72"/>
        <v>0</v>
      </c>
      <c r="AT68" s="26">
        <f t="shared" si="73"/>
        <v>0</v>
      </c>
      <c r="AU68" s="26">
        <f t="shared" si="74"/>
        <v>0</v>
      </c>
      <c r="AV68" s="32">
        <f t="shared" si="75"/>
        <v>0</v>
      </c>
      <c r="AW68" s="31">
        <f t="shared" si="46"/>
        <v>3.9920159680638719E-3</v>
      </c>
      <c r="AX68" s="26">
        <f t="shared" si="61"/>
        <v>1</v>
      </c>
      <c r="AY68" s="26">
        <f t="shared" si="47"/>
        <v>1999</v>
      </c>
      <c r="AZ68" s="42">
        <f t="shared" si="85"/>
        <v>1.3683753258035996E-3</v>
      </c>
      <c r="BA68" s="28">
        <f t="shared" si="32"/>
        <v>0.25028236316246744</v>
      </c>
      <c r="BB68" s="26">
        <f t="shared" si="53"/>
        <v>1</v>
      </c>
      <c r="BC68" s="26">
        <f t="shared" si="76"/>
        <v>0</v>
      </c>
      <c r="BD68" s="26">
        <f t="shared" si="77"/>
        <v>0</v>
      </c>
      <c r="BE68" s="32">
        <f t="shared" si="78"/>
        <v>0</v>
      </c>
      <c r="BF68" s="29">
        <f t="shared" si="48"/>
        <v>0</v>
      </c>
      <c r="BG68" s="26">
        <f t="shared" si="62"/>
        <v>1</v>
      </c>
      <c r="BH68" s="26">
        <f t="shared" si="49"/>
        <v>2500</v>
      </c>
      <c r="BI68" s="42">
        <f t="shared" si="50"/>
        <v>5.3152130114656311E-2</v>
      </c>
      <c r="BJ68" s="28">
        <f t="shared" si="51"/>
        <v>0.21105168687497713</v>
      </c>
      <c r="BK68" s="26">
        <f t="shared" si="79"/>
        <v>0</v>
      </c>
      <c r="BL68" s="26">
        <f t="shared" si="80"/>
        <v>0</v>
      </c>
      <c r="BM68" s="26">
        <f t="shared" si="81"/>
        <v>0</v>
      </c>
      <c r="BN68" s="32">
        <f t="shared" si="82"/>
        <v>0</v>
      </c>
    </row>
    <row r="69" spans="21:66" x14ac:dyDescent="0.3">
      <c r="U69" s="1">
        <v>499</v>
      </c>
      <c r="V69" s="31">
        <f t="shared" si="18"/>
        <v>4.0080160320641279E-3</v>
      </c>
      <c r="W69" s="26">
        <f t="shared" si="54"/>
        <v>1</v>
      </c>
      <c r="X69" s="26">
        <f t="shared" si="55"/>
        <v>1000</v>
      </c>
      <c r="Y69" s="42">
        <f t="shared" si="56"/>
        <v>0.24649014616737089</v>
      </c>
      <c r="Z69" s="28">
        <f t="shared" si="57"/>
        <v>0.62199858293751809</v>
      </c>
      <c r="AA69" s="26">
        <f t="shared" si="58"/>
        <v>0</v>
      </c>
      <c r="AB69" s="26">
        <f t="shared" si="63"/>
        <v>0</v>
      </c>
      <c r="AC69" s="26">
        <f t="shared" si="59"/>
        <v>0</v>
      </c>
      <c r="AD69" s="32">
        <f t="shared" si="60"/>
        <v>0</v>
      </c>
      <c r="AE69" s="31">
        <f t="shared" si="64"/>
        <v>0.49899799599198397</v>
      </c>
      <c r="AF69" s="26">
        <f t="shared" si="65"/>
        <v>1</v>
      </c>
      <c r="AG69" s="26">
        <f t="shared" si="40"/>
        <v>1250</v>
      </c>
      <c r="AH69" s="42">
        <f t="shared" si="66"/>
        <v>3.8022544966253152E-2</v>
      </c>
      <c r="AI69" s="28">
        <f t="shared" si="67"/>
        <v>0.41437859995052828</v>
      </c>
      <c r="AJ69" s="26">
        <f t="shared" si="68"/>
        <v>0</v>
      </c>
      <c r="AK69" s="26">
        <f t="shared" si="69"/>
        <v>0</v>
      </c>
      <c r="AL69" s="26">
        <f t="shared" si="70"/>
        <v>0</v>
      </c>
      <c r="AM69" s="32">
        <f t="shared" si="71"/>
        <v>0</v>
      </c>
      <c r="AN69" s="31">
        <f t="shared" si="43"/>
        <v>0.50100200400801598</v>
      </c>
      <c r="AO69" s="26">
        <f t="shared" si="83"/>
        <v>1</v>
      </c>
      <c r="AP69" s="26">
        <f t="shared" si="44"/>
        <v>1499</v>
      </c>
      <c r="AQ69" s="42">
        <f t="shared" si="84"/>
        <v>6.5498934159192335E-2</v>
      </c>
      <c r="AR69" s="28">
        <f t="shared" si="52"/>
        <v>0.31108474439930822</v>
      </c>
      <c r="AS69" s="26">
        <f t="shared" si="72"/>
        <v>0</v>
      </c>
      <c r="AT69" s="26">
        <f t="shared" si="73"/>
        <v>0</v>
      </c>
      <c r="AU69" s="26">
        <f t="shared" si="74"/>
        <v>0</v>
      </c>
      <c r="AV69" s="32">
        <f t="shared" si="75"/>
        <v>0</v>
      </c>
      <c r="AW69" s="31">
        <f t="shared" si="46"/>
        <v>2.004008016032064E-3</v>
      </c>
      <c r="AX69" s="26">
        <f t="shared" si="61"/>
        <v>1</v>
      </c>
      <c r="AY69" s="26">
        <f t="shared" si="47"/>
        <v>1999</v>
      </c>
      <c r="AZ69" s="42">
        <f t="shared" si="85"/>
        <v>1.3683753258035996E-3</v>
      </c>
      <c r="BA69" s="28">
        <f t="shared" si="32"/>
        <v>0.24928323197219809</v>
      </c>
      <c r="BB69" s="26">
        <f t="shared" si="53"/>
        <v>1</v>
      </c>
      <c r="BC69" s="26">
        <f t="shared" si="76"/>
        <v>0</v>
      </c>
      <c r="BD69" s="26">
        <f t="shared" si="77"/>
        <v>0</v>
      </c>
      <c r="BE69" s="32">
        <f t="shared" si="78"/>
        <v>0</v>
      </c>
      <c r="BF69" s="29">
        <f t="shared" si="48"/>
        <v>0</v>
      </c>
      <c r="BG69" s="26">
        <f t="shared" si="62"/>
        <v>1</v>
      </c>
      <c r="BH69" s="26">
        <f t="shared" si="49"/>
        <v>2498</v>
      </c>
      <c r="BI69" s="42">
        <f t="shared" si="50"/>
        <v>5.2309608410564583E-2</v>
      </c>
      <c r="BJ69" s="28">
        <f t="shared" si="51"/>
        <v>0.21020916517088539</v>
      </c>
      <c r="BK69" s="26">
        <f t="shared" si="79"/>
        <v>0</v>
      </c>
      <c r="BL69" s="26">
        <f t="shared" si="80"/>
        <v>0</v>
      </c>
      <c r="BM69" s="26">
        <f t="shared" si="81"/>
        <v>0</v>
      </c>
      <c r="BN69" s="32">
        <f t="shared" si="82"/>
        <v>0</v>
      </c>
    </row>
    <row r="70" spans="21:66" x14ac:dyDescent="0.3">
      <c r="U70">
        <v>500</v>
      </c>
      <c r="V70" s="31">
        <f t="shared" si="18"/>
        <v>2E-3</v>
      </c>
      <c r="W70" s="26">
        <f t="shared" si="54"/>
        <v>1</v>
      </c>
      <c r="X70" s="26">
        <f t="shared" si="55"/>
        <v>999</v>
      </c>
      <c r="Y70" s="42">
        <f t="shared" si="56"/>
        <v>0.24524365602120352</v>
      </c>
      <c r="Z70" s="28">
        <f t="shared" si="57"/>
        <v>0.62324507308368549</v>
      </c>
      <c r="AA70" s="26">
        <f t="shared" si="58"/>
        <v>0</v>
      </c>
      <c r="AB70" s="26">
        <f t="shared" si="63"/>
        <v>0</v>
      </c>
      <c r="AC70" s="26">
        <f t="shared" si="59"/>
        <v>0</v>
      </c>
      <c r="AD70" s="32">
        <f t="shared" si="60"/>
        <v>0</v>
      </c>
      <c r="AE70" s="31">
        <f t="shared" si="64"/>
        <v>2E-3</v>
      </c>
      <c r="AF70" s="26">
        <f t="shared" si="65"/>
        <v>1</v>
      </c>
      <c r="AG70" s="26">
        <f t="shared" si="40"/>
        <v>1500</v>
      </c>
      <c r="AH70" s="42">
        <f t="shared" si="66"/>
        <v>0.24562705395950379</v>
      </c>
      <c r="AI70" s="28">
        <f t="shared" si="67"/>
        <v>0.41520901798650128</v>
      </c>
      <c r="AJ70" s="26">
        <f t="shared" si="68"/>
        <v>0</v>
      </c>
      <c r="AK70" s="26">
        <f t="shared" si="69"/>
        <v>0</v>
      </c>
      <c r="AL70" s="26">
        <f t="shared" si="70"/>
        <v>0</v>
      </c>
      <c r="AM70" s="32">
        <f t="shared" si="71"/>
        <v>0</v>
      </c>
      <c r="AN70" s="31">
        <f t="shared" si="43"/>
        <v>0.5</v>
      </c>
      <c r="AO70" s="26">
        <f t="shared" si="83"/>
        <v>1</v>
      </c>
      <c r="AP70" s="26">
        <f t="shared" si="44"/>
        <v>1750</v>
      </c>
      <c r="AQ70" s="42">
        <f t="shared" si="84"/>
        <v>9.0978562522624012E-2</v>
      </c>
      <c r="AR70" s="28">
        <f t="shared" si="52"/>
        <v>0.31170816072074969</v>
      </c>
      <c r="AS70" s="26">
        <f t="shared" si="72"/>
        <v>0</v>
      </c>
      <c r="AT70" s="26">
        <f t="shared" si="73"/>
        <v>0</v>
      </c>
      <c r="AU70" s="26">
        <f t="shared" si="74"/>
        <v>0</v>
      </c>
      <c r="AV70" s="32">
        <f t="shared" si="75"/>
        <v>0</v>
      </c>
      <c r="AW70" s="31">
        <f t="shared" si="46"/>
        <v>0.502</v>
      </c>
      <c r="AX70" s="26">
        <f t="shared" si="61"/>
        <v>0</v>
      </c>
      <c r="AY70" s="26">
        <f t="shared" si="47"/>
        <v>1999</v>
      </c>
      <c r="AZ70" s="42">
        <f t="shared" si="85"/>
        <v>1.3683753258035996E-3</v>
      </c>
      <c r="BA70" s="28">
        <f t="shared" si="32"/>
        <v>0.24978279756733276</v>
      </c>
      <c r="BB70" s="26">
        <f t="shared" si="53"/>
        <v>1</v>
      </c>
      <c r="BC70" s="26">
        <f t="shared" si="76"/>
        <v>0</v>
      </c>
      <c r="BD70" s="26">
        <f t="shared" si="77"/>
        <v>0</v>
      </c>
      <c r="BE70" s="32">
        <f t="shared" si="78"/>
        <v>0</v>
      </c>
      <c r="BF70" s="29">
        <f t="shared" si="48"/>
        <v>0</v>
      </c>
      <c r="BG70" s="26">
        <f t="shared" si="62"/>
        <v>1</v>
      </c>
      <c r="BH70" s="26">
        <f t="shared" si="49"/>
        <v>2499</v>
      </c>
      <c r="BI70" s="42">
        <f t="shared" si="50"/>
        <v>5.2730869262610447E-2</v>
      </c>
      <c r="BJ70" s="28">
        <f t="shared" si="51"/>
        <v>0.21063042602293125</v>
      </c>
      <c r="BK70" s="26">
        <f t="shared" si="79"/>
        <v>0</v>
      </c>
      <c r="BL70" s="26">
        <f t="shared" si="80"/>
        <v>0</v>
      </c>
      <c r="BM70" s="26">
        <f t="shared" si="81"/>
        <v>0</v>
      </c>
      <c r="BN70" s="32">
        <f t="shared" si="82"/>
        <v>0</v>
      </c>
    </row>
    <row r="71" spans="21:66" x14ac:dyDescent="0.3">
      <c r="U71">
        <v>249</v>
      </c>
      <c r="V71" s="31">
        <f t="shared" si="18"/>
        <v>1.0080321285140563</v>
      </c>
      <c r="W71" s="26">
        <f t="shared" si="54"/>
        <v>1</v>
      </c>
      <c r="X71" s="26">
        <f t="shared" si="55"/>
        <v>749</v>
      </c>
      <c r="Y71" s="42">
        <f t="shared" si="56"/>
        <v>6.6378880520639214E-2</v>
      </c>
      <c r="Z71" s="28">
        <f t="shared" si="57"/>
        <v>0.31037604639567534</v>
      </c>
      <c r="AA71" s="26">
        <f t="shared" si="58"/>
        <v>0</v>
      </c>
      <c r="AB71" s="26">
        <f t="shared" si="63"/>
        <v>0</v>
      </c>
      <c r="AC71" s="26">
        <f t="shared" si="59"/>
        <v>0</v>
      </c>
      <c r="AD71" s="32">
        <f t="shared" si="60"/>
        <v>0</v>
      </c>
      <c r="AE71" s="31">
        <f t="shared" si="64"/>
        <v>1.0040160642570282</v>
      </c>
      <c r="AF71" s="26">
        <f t="shared" si="65"/>
        <v>1</v>
      </c>
      <c r="AG71" s="26">
        <f t="shared" si="40"/>
        <v>1248</v>
      </c>
      <c r="AH71" s="42">
        <f t="shared" si="66"/>
        <v>3.6361708894307149E-2</v>
      </c>
      <c r="AI71" s="28">
        <f t="shared" si="67"/>
        <v>0.20677409095727764</v>
      </c>
      <c r="AJ71" s="26">
        <f t="shared" si="68"/>
        <v>0</v>
      </c>
      <c r="AK71" s="26">
        <f t="shared" si="69"/>
        <v>0</v>
      </c>
      <c r="AL71" s="26">
        <f t="shared" si="70"/>
        <v>1</v>
      </c>
      <c r="AM71" s="32">
        <f t="shared" si="71"/>
        <v>0</v>
      </c>
      <c r="AN71" s="31">
        <f t="shared" si="43"/>
        <v>1.0120481927710843</v>
      </c>
      <c r="AO71" s="26">
        <f t="shared" si="83"/>
        <v>1</v>
      </c>
      <c r="AP71" s="26">
        <f t="shared" si="44"/>
        <v>1749</v>
      </c>
      <c r="AQ71" s="42">
        <f t="shared" si="84"/>
        <v>9.0355146201182526E-2</v>
      </c>
      <c r="AR71" s="28">
        <f t="shared" si="52"/>
        <v>0.15523066403893335</v>
      </c>
      <c r="AS71" s="26">
        <f t="shared" si="72"/>
        <v>0</v>
      </c>
      <c r="AT71" s="26">
        <f t="shared" si="73"/>
        <v>0</v>
      </c>
      <c r="AU71" s="26">
        <f t="shared" si="74"/>
        <v>0</v>
      </c>
      <c r="AV71" s="32">
        <f t="shared" si="75"/>
        <v>0</v>
      </c>
      <c r="AW71" s="31">
        <f t="shared" si="46"/>
        <v>4.0160642570281121E-3</v>
      </c>
      <c r="AX71" s="26">
        <f t="shared" si="61"/>
        <v>1</v>
      </c>
      <c r="AY71" s="26">
        <f t="shared" si="47"/>
        <v>1999</v>
      </c>
      <c r="AZ71" s="42">
        <f t="shared" si="85"/>
        <v>1.3683753258035996E-3</v>
      </c>
      <c r="BA71" s="28">
        <f t="shared" si="32"/>
        <v>0.12439183318853171</v>
      </c>
      <c r="BB71" s="26">
        <f t="shared" si="53"/>
        <v>1</v>
      </c>
      <c r="BC71" s="26">
        <f t="shared" si="76"/>
        <v>0</v>
      </c>
      <c r="BD71" s="26">
        <f t="shared" si="77"/>
        <v>0</v>
      </c>
      <c r="BE71" s="32">
        <f t="shared" si="78"/>
        <v>0</v>
      </c>
      <c r="BF71" s="29">
        <f t="shared" si="48"/>
        <v>0</v>
      </c>
      <c r="BG71" s="26">
        <f t="shared" si="62"/>
        <v>1</v>
      </c>
      <c r="BH71" s="26">
        <f t="shared" si="49"/>
        <v>2248</v>
      </c>
      <c r="BI71" s="42">
        <f t="shared" si="50"/>
        <v>5.3005604600901042E-2</v>
      </c>
      <c r="BJ71" s="28">
        <f t="shared" si="51"/>
        <v>0.10489395215941977</v>
      </c>
      <c r="BK71" s="26">
        <f t="shared" si="79"/>
        <v>0</v>
      </c>
      <c r="BL71" s="26">
        <f t="shared" si="80"/>
        <v>0</v>
      </c>
      <c r="BM71" s="26">
        <f t="shared" si="81"/>
        <v>1</v>
      </c>
      <c r="BN71" s="32">
        <f t="shared" si="82"/>
        <v>0</v>
      </c>
    </row>
    <row r="72" spans="21:66" x14ac:dyDescent="0.3">
      <c r="U72">
        <v>250</v>
      </c>
      <c r="V72" s="31">
        <f t="shared" si="18"/>
        <v>4.0000000000000001E-3</v>
      </c>
      <c r="W72" s="26">
        <f t="shared" si="54"/>
        <v>1</v>
      </c>
      <c r="X72" s="26">
        <f t="shared" si="55"/>
        <v>499</v>
      </c>
      <c r="Y72" s="42">
        <f t="shared" si="56"/>
        <v>0.37800141706248191</v>
      </c>
      <c r="Z72" s="28">
        <f t="shared" si="57"/>
        <v>0.31162253654184274</v>
      </c>
      <c r="AA72" s="26">
        <f t="shared" si="58"/>
        <v>0</v>
      </c>
      <c r="AB72" s="26">
        <f t="shared" si="63"/>
        <v>0</v>
      </c>
      <c r="AC72" s="26">
        <f t="shared" si="59"/>
        <v>0</v>
      </c>
      <c r="AD72" s="32">
        <f t="shared" si="60"/>
        <v>0</v>
      </c>
      <c r="AE72" s="31">
        <f t="shared" si="64"/>
        <v>1</v>
      </c>
      <c r="AF72" s="26">
        <f t="shared" si="65"/>
        <v>1</v>
      </c>
      <c r="AG72" s="26">
        <f t="shared" si="40"/>
        <v>999</v>
      </c>
      <c r="AH72" s="42">
        <f t="shared" si="66"/>
        <v>0.17041238206297049</v>
      </c>
      <c r="AI72" s="28">
        <f t="shared" si="67"/>
        <v>0.20760450899325064</v>
      </c>
      <c r="AJ72" s="26">
        <f t="shared" si="68"/>
        <v>0</v>
      </c>
      <c r="AK72" s="26">
        <f t="shared" si="69"/>
        <v>0</v>
      </c>
      <c r="AL72" s="26">
        <f t="shared" si="70"/>
        <v>1</v>
      </c>
      <c r="AM72" s="32">
        <f t="shared" si="71"/>
        <v>0</v>
      </c>
      <c r="AN72" s="31">
        <f t="shared" si="43"/>
        <v>0.996</v>
      </c>
      <c r="AO72" s="26">
        <f t="shared" si="83"/>
        <v>1</v>
      </c>
      <c r="AP72" s="26">
        <f t="shared" si="44"/>
        <v>1498</v>
      </c>
      <c r="AQ72" s="42">
        <f t="shared" si="84"/>
        <v>6.6122350480633835E-2</v>
      </c>
      <c r="AR72" s="28">
        <f t="shared" si="52"/>
        <v>0.15585408036037485</v>
      </c>
      <c r="AS72" s="26">
        <f t="shared" si="72"/>
        <v>0</v>
      </c>
      <c r="AT72" s="26">
        <f t="shared" si="73"/>
        <v>0</v>
      </c>
      <c r="AU72" s="26">
        <f t="shared" si="74"/>
        <v>0</v>
      </c>
      <c r="AV72" s="32">
        <f t="shared" si="75"/>
        <v>0</v>
      </c>
      <c r="AW72" s="31">
        <f t="shared" si="46"/>
        <v>1.004</v>
      </c>
      <c r="AX72" s="26">
        <f t="shared" si="61"/>
        <v>0</v>
      </c>
      <c r="AY72" s="26">
        <f t="shared" si="47"/>
        <v>1999</v>
      </c>
      <c r="AZ72" s="42">
        <f t="shared" si="85"/>
        <v>1.3683753258035996E-3</v>
      </c>
      <c r="BA72" s="28">
        <f t="shared" si="32"/>
        <v>0.12489139878366638</v>
      </c>
      <c r="BB72" s="26">
        <f t="shared" si="53"/>
        <v>1</v>
      </c>
      <c r="BC72" s="26">
        <f t="shared" si="76"/>
        <v>0</v>
      </c>
      <c r="BD72" s="26">
        <f t="shared" si="77"/>
        <v>0</v>
      </c>
      <c r="BE72" s="32">
        <f t="shared" si="78"/>
        <v>0</v>
      </c>
      <c r="BF72" s="29">
        <f t="shared" si="48"/>
        <v>0</v>
      </c>
      <c r="BG72" s="26">
        <f t="shared" si="62"/>
        <v>1</v>
      </c>
      <c r="BH72" s="26">
        <f t="shared" si="49"/>
        <v>2249</v>
      </c>
      <c r="BI72" s="42">
        <f t="shared" si="50"/>
        <v>5.2584343748855185E-2</v>
      </c>
      <c r="BJ72" s="28">
        <f t="shared" si="51"/>
        <v>0.10531521301146562</v>
      </c>
      <c r="BK72" s="26">
        <f t="shared" si="79"/>
        <v>0</v>
      </c>
      <c r="BL72" s="26">
        <f t="shared" si="80"/>
        <v>0</v>
      </c>
      <c r="BM72" s="26">
        <f t="shared" si="81"/>
        <v>1</v>
      </c>
      <c r="BN72" s="32">
        <f t="shared" si="82"/>
        <v>0</v>
      </c>
    </row>
    <row r="73" spans="21:66" x14ac:dyDescent="0.3">
      <c r="U73">
        <v>501</v>
      </c>
      <c r="V73" s="31">
        <f t="shared" si="18"/>
        <v>0.50099800399201599</v>
      </c>
      <c r="W73" s="26">
        <f t="shared" si="54"/>
        <v>1</v>
      </c>
      <c r="X73" s="26">
        <f t="shared" si="55"/>
        <v>751</v>
      </c>
      <c r="Y73" s="42">
        <f t="shared" si="56"/>
        <v>6.3885900228304468E-2</v>
      </c>
      <c r="Z73" s="28">
        <f t="shared" si="57"/>
        <v>0.62449156322985278</v>
      </c>
      <c r="AA73" s="26">
        <f t="shared" si="58"/>
        <v>0</v>
      </c>
      <c r="AB73" s="26">
        <f t="shared" si="63"/>
        <v>0</v>
      </c>
      <c r="AC73" s="26">
        <f t="shared" si="59"/>
        <v>0</v>
      </c>
      <c r="AD73" s="32">
        <f t="shared" si="60"/>
        <v>0</v>
      </c>
      <c r="AE73" s="31">
        <f t="shared" si="64"/>
        <v>0.50299401197604787</v>
      </c>
      <c r="AF73" s="26">
        <f t="shared" si="65"/>
        <v>1</v>
      </c>
      <c r="AG73" s="26">
        <f t="shared" si="40"/>
        <v>1000</v>
      </c>
      <c r="AH73" s="42">
        <f t="shared" si="66"/>
        <v>0.16958196402699749</v>
      </c>
      <c r="AI73" s="28">
        <f t="shared" si="67"/>
        <v>0.41603943602247428</v>
      </c>
      <c r="AJ73" s="26">
        <f t="shared" si="68"/>
        <v>0</v>
      </c>
      <c r="AK73" s="26">
        <f t="shared" si="69"/>
        <v>0</v>
      </c>
      <c r="AL73" s="26">
        <f t="shared" si="70"/>
        <v>0</v>
      </c>
      <c r="AM73" s="32">
        <f t="shared" si="71"/>
        <v>0</v>
      </c>
      <c r="AN73" s="31">
        <f t="shared" si="43"/>
        <v>1.996007984031936E-3</v>
      </c>
      <c r="AO73" s="26">
        <f t="shared" si="83"/>
        <v>1</v>
      </c>
      <c r="AP73" s="26">
        <f t="shared" si="44"/>
        <v>1500</v>
      </c>
      <c r="AQ73" s="42">
        <f t="shared" si="84"/>
        <v>6.4875517837750835E-2</v>
      </c>
      <c r="AR73" s="28">
        <f t="shared" si="52"/>
        <v>0.31233157704219122</v>
      </c>
      <c r="AS73" s="26">
        <f t="shared" si="72"/>
        <v>0</v>
      </c>
      <c r="AT73" s="26">
        <f t="shared" si="73"/>
        <v>0</v>
      </c>
      <c r="AU73" s="26">
        <f t="shared" si="74"/>
        <v>0</v>
      </c>
      <c r="AV73" s="32">
        <f t="shared" si="75"/>
        <v>0</v>
      </c>
      <c r="AW73" s="31">
        <f t="shared" si="46"/>
        <v>3.9920159680638719E-3</v>
      </c>
      <c r="AX73" s="26">
        <f t="shared" si="61"/>
        <v>1</v>
      </c>
      <c r="AY73" s="26">
        <f t="shared" si="47"/>
        <v>1999</v>
      </c>
      <c r="AZ73" s="42">
        <f t="shared" si="85"/>
        <v>1.3683753258035996E-3</v>
      </c>
      <c r="BA73" s="28">
        <f t="shared" si="32"/>
        <v>0.25028236316246744</v>
      </c>
      <c r="BB73" s="26">
        <f t="shared" si="53"/>
        <v>1</v>
      </c>
      <c r="BC73" s="26">
        <f t="shared" si="76"/>
        <v>0</v>
      </c>
      <c r="BD73" s="26">
        <f t="shared" si="77"/>
        <v>0</v>
      </c>
      <c r="BE73" s="32">
        <f t="shared" si="78"/>
        <v>0</v>
      </c>
      <c r="BF73" s="29">
        <f t="shared" si="48"/>
        <v>0</v>
      </c>
      <c r="BG73" s="26">
        <f t="shared" si="62"/>
        <v>1</v>
      </c>
      <c r="BH73" s="26">
        <f t="shared" si="49"/>
        <v>2500</v>
      </c>
      <c r="BI73" s="42">
        <f t="shared" si="50"/>
        <v>5.3152130114656311E-2</v>
      </c>
      <c r="BJ73" s="28">
        <f t="shared" si="51"/>
        <v>0.21105168687497713</v>
      </c>
      <c r="BK73" s="26">
        <f t="shared" si="79"/>
        <v>0</v>
      </c>
      <c r="BL73" s="26">
        <f t="shared" si="80"/>
        <v>0</v>
      </c>
      <c r="BM73" s="26">
        <f t="shared" si="81"/>
        <v>0</v>
      </c>
      <c r="BN73" s="32">
        <f t="shared" si="82"/>
        <v>0</v>
      </c>
    </row>
    <row r="74" spans="21:66" x14ac:dyDescent="0.3">
      <c r="U74" s="1">
        <v>499</v>
      </c>
      <c r="V74" s="31">
        <f t="shared" si="18"/>
        <v>4.0080160320641279E-3</v>
      </c>
      <c r="W74" s="26">
        <f t="shared" si="54"/>
        <v>1</v>
      </c>
      <c r="X74" s="26">
        <f t="shared" si="55"/>
        <v>1000</v>
      </c>
      <c r="Y74" s="42">
        <f t="shared" si="56"/>
        <v>0.24649014616737089</v>
      </c>
      <c r="Z74" s="28">
        <f t="shared" si="57"/>
        <v>0.62199858293751809</v>
      </c>
      <c r="AA74" s="26">
        <f t="shared" si="58"/>
        <v>0</v>
      </c>
      <c r="AB74" s="26">
        <f t="shared" si="63"/>
        <v>0</v>
      </c>
      <c r="AC74" s="26">
        <f t="shared" si="59"/>
        <v>0</v>
      </c>
      <c r="AD74" s="32">
        <f t="shared" si="60"/>
        <v>0</v>
      </c>
      <c r="AE74" s="31">
        <f t="shared" si="64"/>
        <v>0.49899799599198397</v>
      </c>
      <c r="AF74" s="26">
        <f t="shared" si="65"/>
        <v>1</v>
      </c>
      <c r="AG74" s="26">
        <f t="shared" si="40"/>
        <v>1250</v>
      </c>
      <c r="AH74" s="42">
        <f t="shared" si="66"/>
        <v>3.8022544966253152E-2</v>
      </c>
      <c r="AI74" s="28">
        <f t="shared" si="67"/>
        <v>0.41437859995052828</v>
      </c>
      <c r="AJ74" s="26">
        <f t="shared" si="68"/>
        <v>0</v>
      </c>
      <c r="AK74" s="26">
        <f t="shared" si="69"/>
        <v>0</v>
      </c>
      <c r="AL74" s="26">
        <f t="shared" si="70"/>
        <v>0</v>
      </c>
      <c r="AM74" s="32">
        <f t="shared" si="71"/>
        <v>0</v>
      </c>
      <c r="AN74" s="31">
        <f t="shared" si="43"/>
        <v>0.50100200400801598</v>
      </c>
      <c r="AO74" s="26">
        <f t="shared" si="83"/>
        <v>1</v>
      </c>
      <c r="AP74" s="26">
        <f t="shared" si="44"/>
        <v>1499</v>
      </c>
      <c r="AQ74" s="42">
        <f t="shared" si="84"/>
        <v>6.5498934159192335E-2</v>
      </c>
      <c r="AR74" s="28">
        <f t="shared" si="52"/>
        <v>0.31108474439930822</v>
      </c>
      <c r="AS74" s="26">
        <f t="shared" si="72"/>
        <v>0</v>
      </c>
      <c r="AT74" s="26">
        <f t="shared" si="73"/>
        <v>0</v>
      </c>
      <c r="AU74" s="26">
        <f t="shared" si="74"/>
        <v>0</v>
      </c>
      <c r="AV74" s="32">
        <f t="shared" si="75"/>
        <v>0</v>
      </c>
      <c r="AW74" s="31">
        <f t="shared" si="46"/>
        <v>2.004008016032064E-3</v>
      </c>
      <c r="AX74" s="26">
        <f t="shared" si="61"/>
        <v>1</v>
      </c>
      <c r="AY74" s="26">
        <f t="shared" si="47"/>
        <v>1999</v>
      </c>
      <c r="AZ74" s="42">
        <f t="shared" si="85"/>
        <v>1.3683753258035996E-3</v>
      </c>
      <c r="BA74" s="28">
        <f t="shared" si="32"/>
        <v>0.24928323197219809</v>
      </c>
      <c r="BB74" s="26">
        <f t="shared" si="53"/>
        <v>1</v>
      </c>
      <c r="BC74" s="26">
        <f t="shared" si="76"/>
        <v>0</v>
      </c>
      <c r="BD74" s="26">
        <f t="shared" si="77"/>
        <v>0</v>
      </c>
      <c r="BE74" s="32">
        <f t="shared" si="78"/>
        <v>0</v>
      </c>
      <c r="BF74" s="29">
        <f t="shared" si="48"/>
        <v>0</v>
      </c>
      <c r="BG74" s="26">
        <f t="shared" si="62"/>
        <v>1</v>
      </c>
      <c r="BH74" s="26">
        <f t="shared" si="49"/>
        <v>2498</v>
      </c>
      <c r="BI74" s="42">
        <f t="shared" si="50"/>
        <v>5.2309608410564583E-2</v>
      </c>
      <c r="BJ74" s="28">
        <f t="shared" si="51"/>
        <v>0.21020916517088539</v>
      </c>
      <c r="BK74" s="26">
        <f t="shared" si="79"/>
        <v>0</v>
      </c>
      <c r="BL74" s="26">
        <f t="shared" si="80"/>
        <v>0</v>
      </c>
      <c r="BM74" s="26">
        <f t="shared" si="81"/>
        <v>0</v>
      </c>
      <c r="BN74" s="32">
        <f t="shared" si="82"/>
        <v>0</v>
      </c>
    </row>
    <row r="75" spans="21:66" x14ac:dyDescent="0.3">
      <c r="U75">
        <v>500</v>
      </c>
      <c r="V75" s="31">
        <f t="shared" si="18"/>
        <v>2E-3</v>
      </c>
      <c r="W75" s="26">
        <f t="shared" si="54"/>
        <v>1</v>
      </c>
      <c r="X75" s="26">
        <f t="shared" si="55"/>
        <v>999</v>
      </c>
      <c r="Y75" s="42">
        <f t="shared" si="56"/>
        <v>0.24524365602120352</v>
      </c>
      <c r="Z75" s="28">
        <f t="shared" si="57"/>
        <v>0.62324507308368549</v>
      </c>
      <c r="AA75" s="26">
        <f t="shared" si="58"/>
        <v>0</v>
      </c>
      <c r="AB75" s="26">
        <f t="shared" si="63"/>
        <v>0</v>
      </c>
      <c r="AC75" s="26">
        <f t="shared" si="59"/>
        <v>0</v>
      </c>
      <c r="AD75" s="32">
        <f t="shared" si="60"/>
        <v>0</v>
      </c>
      <c r="AE75" s="31">
        <f t="shared" si="64"/>
        <v>2E-3</v>
      </c>
      <c r="AF75" s="26">
        <f t="shared" si="65"/>
        <v>1</v>
      </c>
      <c r="AG75" s="26">
        <f t="shared" si="40"/>
        <v>1500</v>
      </c>
      <c r="AH75" s="42">
        <f t="shared" si="66"/>
        <v>0.24562705395950379</v>
      </c>
      <c r="AI75" s="28">
        <f t="shared" si="67"/>
        <v>0.41520901798650128</v>
      </c>
      <c r="AJ75" s="26">
        <f t="shared" si="68"/>
        <v>0</v>
      </c>
      <c r="AK75" s="26">
        <f t="shared" si="69"/>
        <v>0</v>
      </c>
      <c r="AL75" s="26">
        <f t="shared" si="70"/>
        <v>0</v>
      </c>
      <c r="AM75" s="32">
        <f t="shared" si="71"/>
        <v>0</v>
      </c>
      <c r="AN75" s="31">
        <f t="shared" si="43"/>
        <v>0.5</v>
      </c>
      <c r="AO75" s="26">
        <f t="shared" si="83"/>
        <v>1</v>
      </c>
      <c r="AP75" s="26">
        <f t="shared" si="44"/>
        <v>1750</v>
      </c>
      <c r="AQ75" s="42">
        <f t="shared" si="84"/>
        <v>9.0978562522624012E-2</v>
      </c>
      <c r="AR75" s="28">
        <f t="shared" ref="AR75:AR106" si="86">U75/$AP$10</f>
        <v>0.31170816072074969</v>
      </c>
      <c r="AS75" s="26">
        <f t="shared" si="72"/>
        <v>0</v>
      </c>
      <c r="AT75" s="26">
        <f t="shared" si="73"/>
        <v>0</v>
      </c>
      <c r="AU75" s="26">
        <f t="shared" si="74"/>
        <v>0</v>
      </c>
      <c r="AV75" s="32">
        <f t="shared" si="75"/>
        <v>0</v>
      </c>
      <c r="AW75" s="31">
        <f t="shared" si="46"/>
        <v>0.502</v>
      </c>
      <c r="AX75" s="26">
        <f t="shared" si="61"/>
        <v>0</v>
      </c>
      <c r="AY75" s="26">
        <f t="shared" si="47"/>
        <v>1999</v>
      </c>
      <c r="AZ75" s="42">
        <f t="shared" si="85"/>
        <v>1.3683753258035996E-3</v>
      </c>
      <c r="BA75" s="28">
        <f t="shared" si="32"/>
        <v>0.24978279756733276</v>
      </c>
      <c r="BB75" s="26">
        <f t="shared" ref="BB75:BB106" si="87">IF(OR(ABS(BA75-(1/$AA$1))&lt;$U$2,ABS(BA75-(1/$AA$2))&lt;$U$2,ABS(BA75-(1/$AA$7))&lt;$U$2,ABS(BA75-(1/$AA$8))&lt;$U$2),1,0)</f>
        <v>1</v>
      </c>
      <c r="BC75" s="26">
        <f t="shared" si="76"/>
        <v>0</v>
      </c>
      <c r="BD75" s="26">
        <f t="shared" si="77"/>
        <v>0</v>
      </c>
      <c r="BE75" s="32">
        <f t="shared" si="78"/>
        <v>0</v>
      </c>
      <c r="BF75" s="29">
        <f t="shared" si="48"/>
        <v>0</v>
      </c>
      <c r="BG75" s="26">
        <f t="shared" si="62"/>
        <v>1</v>
      </c>
      <c r="BH75" s="26">
        <f t="shared" si="49"/>
        <v>2499</v>
      </c>
      <c r="BI75" s="42">
        <f t="shared" si="50"/>
        <v>5.2730869262610447E-2</v>
      </c>
      <c r="BJ75" s="28">
        <f t="shared" si="51"/>
        <v>0.21063042602293125</v>
      </c>
      <c r="BK75" s="26">
        <f t="shared" si="79"/>
        <v>0</v>
      </c>
      <c r="BL75" s="26">
        <f t="shared" si="80"/>
        <v>0</v>
      </c>
      <c r="BM75" s="26">
        <f t="shared" si="81"/>
        <v>0</v>
      </c>
      <c r="BN75" s="32">
        <f t="shared" si="82"/>
        <v>0</v>
      </c>
    </row>
    <row r="76" spans="21:66" x14ac:dyDescent="0.3">
      <c r="U76">
        <v>249</v>
      </c>
      <c r="V76" s="31">
        <f t="shared" si="18"/>
        <v>1.0080321285140563</v>
      </c>
      <c r="W76" s="26">
        <f t="shared" ref="W76:W107" si="88">IF(OR(V76&lt;=$U$1,ABS(V76-0.5)&lt;=$U$1,ABS(V76-1)&lt;=$U$1),1,0)</f>
        <v>1</v>
      </c>
      <c r="X76" s="26">
        <f t="shared" ref="X76:X106" si="89">SUM(U75:U76)</f>
        <v>749</v>
      </c>
      <c r="Y76" s="42">
        <f t="shared" ref="Y76:Y107" si="90">ABS($X$10-X76)/$X$10</f>
        <v>6.6378880520639214E-2</v>
      </c>
      <c r="Z76" s="28">
        <f t="shared" ref="Z76:Z106" si="91">U76/$X$10</f>
        <v>0.31037604639567534</v>
      </c>
      <c r="AA76" s="26">
        <f t="shared" ref="AA76:AA107" si="92">IF(OR(ABS(Z76-(1/$AA$1))&lt;$U$2,ABS(Z76-(1/$AA$2))&lt;$U$2,ABS(Z76-(1/$AA$7))&lt;$U$2,ABS(Z76-(1/$AA$8))&lt;$U$2),1,0)</f>
        <v>0</v>
      </c>
      <c r="AB76" s="26">
        <f t="shared" si="63"/>
        <v>0</v>
      </c>
      <c r="AC76" s="26">
        <f t="shared" ref="AC76:AC106" si="93">IF(OR(ABS(Z76-(1/$AC$1))&lt;$U$2,ABS(Z76-(1/$AC$2))&lt;$U$2,ABS(Z76-(1/$AC$7))&lt;$U$2,ABS(Z76-(1/$AC$8))&lt;$U$2),1,0)</f>
        <v>0</v>
      </c>
      <c r="AD76" s="32">
        <f t="shared" ref="AD76:AD106" si="94">IF(OR(ABS(Z76-(1/$AD$1))&lt;$U$2,ABS(Z76-(1/$AD$2))&lt;$U$2,ABS(Z76-(1/$AD$7))&lt;$U$2,ABS(Z76-(1/$AD$8))&lt;$U$2),1,0)</f>
        <v>0</v>
      </c>
      <c r="AE76" s="31">
        <f t="shared" si="64"/>
        <v>1.0040160642570282</v>
      </c>
      <c r="AF76" s="26">
        <f t="shared" si="65"/>
        <v>1</v>
      </c>
      <c r="AG76" s="26">
        <f t="shared" si="40"/>
        <v>1248</v>
      </c>
      <c r="AH76" s="42">
        <f t="shared" si="66"/>
        <v>3.6361708894307149E-2</v>
      </c>
      <c r="AI76" s="28">
        <f t="shared" si="67"/>
        <v>0.20677409095727764</v>
      </c>
      <c r="AJ76" s="26">
        <f t="shared" si="68"/>
        <v>0</v>
      </c>
      <c r="AK76" s="26">
        <f t="shared" si="69"/>
        <v>0</v>
      </c>
      <c r="AL76" s="26">
        <f t="shared" si="70"/>
        <v>1</v>
      </c>
      <c r="AM76" s="32">
        <f t="shared" si="71"/>
        <v>0</v>
      </c>
      <c r="AN76" s="31">
        <f t="shared" si="43"/>
        <v>1.0120481927710843</v>
      </c>
      <c r="AO76" s="26">
        <f t="shared" si="83"/>
        <v>1</v>
      </c>
      <c r="AP76" s="26">
        <f t="shared" si="44"/>
        <v>1749</v>
      </c>
      <c r="AQ76" s="42">
        <f t="shared" si="84"/>
        <v>9.0355146201182526E-2</v>
      </c>
      <c r="AR76" s="28">
        <f t="shared" si="86"/>
        <v>0.15523066403893335</v>
      </c>
      <c r="AS76" s="26">
        <f t="shared" si="72"/>
        <v>0</v>
      </c>
      <c r="AT76" s="26">
        <f t="shared" si="73"/>
        <v>0</v>
      </c>
      <c r="AU76" s="26">
        <f t="shared" si="74"/>
        <v>0</v>
      </c>
      <c r="AV76" s="32">
        <f t="shared" si="75"/>
        <v>0</v>
      </c>
      <c r="AW76" s="31">
        <f t="shared" si="46"/>
        <v>4.0160642570281121E-3</v>
      </c>
      <c r="AX76" s="26">
        <f t="shared" ref="AX76:AX107" si="95">IF(AW76&lt;=$U$1,1,0)</f>
        <v>1</v>
      </c>
      <c r="AY76" s="26">
        <f t="shared" si="47"/>
        <v>1999</v>
      </c>
      <c r="AZ76" s="42">
        <f t="shared" si="85"/>
        <v>1.3683753258035996E-3</v>
      </c>
      <c r="BA76" s="28">
        <f t="shared" si="32"/>
        <v>0.12439183318853171</v>
      </c>
      <c r="BB76" s="26">
        <f t="shared" si="87"/>
        <v>1</v>
      </c>
      <c r="BC76" s="26">
        <f t="shared" si="76"/>
        <v>0</v>
      </c>
      <c r="BD76" s="26">
        <f t="shared" si="77"/>
        <v>0</v>
      </c>
      <c r="BE76" s="32">
        <f t="shared" si="78"/>
        <v>0</v>
      </c>
      <c r="BF76" s="29">
        <f t="shared" si="48"/>
        <v>0</v>
      </c>
      <c r="BG76" s="26">
        <f t="shared" ref="BG76:BG107" si="96">IF(BF76&lt;=$U$1,1,0)</f>
        <v>1</v>
      </c>
      <c r="BH76" s="26">
        <f t="shared" si="49"/>
        <v>2248</v>
      </c>
      <c r="BI76" s="42">
        <f t="shared" si="50"/>
        <v>5.3005604600901042E-2</v>
      </c>
      <c r="BJ76" s="28">
        <f t="shared" si="51"/>
        <v>0.10489395215941977</v>
      </c>
      <c r="BK76" s="26">
        <f t="shared" si="79"/>
        <v>0</v>
      </c>
      <c r="BL76" s="26">
        <f t="shared" si="80"/>
        <v>0</v>
      </c>
      <c r="BM76" s="26">
        <f t="shared" si="81"/>
        <v>1</v>
      </c>
      <c r="BN76" s="32">
        <f t="shared" si="82"/>
        <v>0</v>
      </c>
    </row>
    <row r="77" spans="21:66" x14ac:dyDescent="0.3">
      <c r="U77">
        <v>250</v>
      </c>
      <c r="V77" s="31">
        <f t="shared" ref="V77:V106" si="97">ABS(U77-U76)/U77</f>
        <v>4.0000000000000001E-3</v>
      </c>
      <c r="W77" s="26">
        <f t="shared" si="88"/>
        <v>1</v>
      </c>
      <c r="X77" s="26">
        <f t="shared" si="89"/>
        <v>499</v>
      </c>
      <c r="Y77" s="42">
        <f t="shared" si="90"/>
        <v>0.37800141706248191</v>
      </c>
      <c r="Z77" s="28">
        <f t="shared" si="91"/>
        <v>0.31162253654184274</v>
      </c>
      <c r="AA77" s="26">
        <f t="shared" si="92"/>
        <v>0</v>
      </c>
      <c r="AB77" s="26">
        <f t="shared" ref="AB77:AB106" si="98">IF(OR(ABS(Z77-(1/$AB$1))&lt;$U$2,ABS(Z77-(2/$AB$1))&lt;$U$2,ABS(Z77-(3/$AB$1))&lt;$U$2,ABS(Z77-(1/$AB$2))&lt;$U$2,ABS(Z77-(1/$AB$7))&lt;$U$2,ABS(Z77-(1/$AB$8))&lt;$U$2),1,0)</f>
        <v>0</v>
      </c>
      <c r="AC77" s="26">
        <f t="shared" si="93"/>
        <v>0</v>
      </c>
      <c r="AD77" s="32">
        <f t="shared" si="94"/>
        <v>0</v>
      </c>
      <c r="AE77" s="31">
        <f t="shared" ref="AE77:AE108" si="99">ABS(U77-U75)/U77</f>
        <v>1</v>
      </c>
      <c r="AF77" s="26">
        <f t="shared" ref="AF77:AF108" si="100">IF(OR(AE77&lt;=$U$1,ABS(AE77-1)&lt;=$U$1,ABS(AE77-0.5)&lt;=$U$1),1,0)</f>
        <v>1</v>
      </c>
      <c r="AG77" s="26">
        <f t="shared" si="40"/>
        <v>999</v>
      </c>
      <c r="AH77" s="42">
        <f t="shared" ref="AH77:AH108" si="101">ABS($AG$10-AG77)/$AG$10</f>
        <v>0.17041238206297049</v>
      </c>
      <c r="AI77" s="28">
        <f t="shared" ref="AI77:AI106" si="102">U77/$AG$10</f>
        <v>0.20760450899325064</v>
      </c>
      <c r="AJ77" s="26">
        <f t="shared" ref="AJ77:AJ108" si="103">IF(OR(ABS(AI77-(1/$AA$1))&lt;$U$2,ABS(AI77-(1/$AA$2))&lt;$U$2,ABS(AI77-(1/$AA$7))&lt;$U$2,ABS(AI77-(1/$AA$8))&lt;$U$2),1,0)</f>
        <v>0</v>
      </c>
      <c r="AK77" s="26">
        <f t="shared" ref="AK77:AK106" si="104">IF(OR(ABS(AI77-(1/$AB$1))&lt;$U$2,ABS(AI77-(1/$AB$2))&lt;$U$2,ABS(AI77-(1/$AB$7))&lt;$U$2,ABS(AI77-(1/$AB$8))&lt;$U$2),1,0)</f>
        <v>0</v>
      </c>
      <c r="AL77" s="26">
        <f t="shared" ref="AL77:AL106" si="105">IF(OR(ABS(AI77-(1/$AC$1))&lt;$U$2,ABS(AI77-(1/$AC$2))&lt;$U$2,ABS(AI77-(1/$AC$7))&lt;$U$2,ABS(AI77-(1/$AC$8))&lt;$U$2),1,0)</f>
        <v>1</v>
      </c>
      <c r="AM77" s="32">
        <f t="shared" ref="AM77:AM106" si="106">IF(OR(ABS(AI77-(1/$AD$1))&lt;$U$2,ABS(AI77-(1/$AD$2))&lt;$U$2,ABS(AI77-(1/$AD$7))&lt;$U$2,ABS(AI77-(1/$AD$8))&lt;$U$2),1,0)</f>
        <v>0</v>
      </c>
      <c r="AN77" s="31">
        <f t="shared" si="43"/>
        <v>0.996</v>
      </c>
      <c r="AO77" s="26">
        <f t="shared" si="83"/>
        <v>1</v>
      </c>
      <c r="AP77" s="26">
        <f t="shared" si="44"/>
        <v>1498</v>
      </c>
      <c r="AQ77" s="42">
        <f t="shared" si="84"/>
        <v>6.6122350480633835E-2</v>
      </c>
      <c r="AR77" s="28">
        <f t="shared" si="86"/>
        <v>0.15585408036037485</v>
      </c>
      <c r="AS77" s="26">
        <f t="shared" ref="AS77:AS108" si="107">IF(OR(ABS(AR77-(1/$AA$1))&lt;$U$2,ABS(AR77-(1/$AA$2))&lt;$U$2,ABS(AR77-(1/$AA$7))&lt;$U$2,ABS(AR77-(1/$AA$8))&lt;$U$2),1,0)</f>
        <v>0</v>
      </c>
      <c r="AT77" s="26">
        <f t="shared" ref="AT77:AT106" si="108">IF(OR(ABS(AR77-(1/$AB$1))&lt;$U$2,ABS(AR77-(1/$AB$2))&lt;$U$2,ABS(AR77-(1/$AB$7))&lt;$U$2,ABS(AR77-(1/$AB$8))&lt;$U$2),1,0)</f>
        <v>0</v>
      </c>
      <c r="AU77" s="26">
        <f t="shared" ref="AU77:AU106" si="109">IF(OR(ABS(AR77-(1/$AC$1))&lt;$U$2,ABS(AR77-(1/$AC$2))&lt;$U$2,ABS(AR77-(1/$AC$7))&lt;$U$2,ABS(AR77-(1/$AC$8))&lt;$U$2),1,0)</f>
        <v>0</v>
      </c>
      <c r="AV77" s="32">
        <f t="shared" ref="AV77:AV106" si="110">IF(OR(ABS(AR77-(1/$AD$1))&lt;$U$2,ABS(AR77-(1/$AD$2))&lt;$U$2,ABS(AR77-(1/$AD$7))&lt;$U$2,ABS(AR77-(1/$AD$8))&lt;$U$2),1,0)</f>
        <v>0</v>
      </c>
      <c r="AW77" s="31">
        <f t="shared" si="46"/>
        <v>1.004</v>
      </c>
      <c r="AX77" s="26">
        <f t="shared" si="95"/>
        <v>0</v>
      </c>
      <c r="AY77" s="26">
        <f t="shared" si="47"/>
        <v>1999</v>
      </c>
      <c r="AZ77" s="42">
        <f t="shared" si="85"/>
        <v>1.3683753258035996E-3</v>
      </c>
      <c r="BA77" s="28">
        <f t="shared" ref="BA77:BA106" si="111">U77/$AY$10</f>
        <v>0.12489139878366638</v>
      </c>
      <c r="BB77" s="26">
        <f t="shared" si="87"/>
        <v>1</v>
      </c>
      <c r="BC77" s="26">
        <f t="shared" ref="BC77:BC106" si="112">IF(OR(ABS(BA77-(1/$AB$1))&lt;$U$2,ABS(BA77-(1/$AB$2))&lt;$U$2,ABS(BA77-(1/$AB$7))&lt;$U$2,ABS(BA77-(1/$AB$8))&lt;$U$2),1,0)</f>
        <v>0</v>
      </c>
      <c r="BD77" s="26">
        <f t="shared" ref="BD77:BD106" si="113">IF(OR(ABS(BA77-(1/$AC$1))&lt;$U$2,ABS(BA77-(1/$AC$2))&lt;$U$2,ABS(BA77-(1/$AC$7))&lt;$U$2,ABS(BA77-(1/$AC$8))&lt;$U$2),1,0)</f>
        <v>0</v>
      </c>
      <c r="BE77" s="32">
        <f t="shared" ref="BE77:BE106" si="114">IF(OR(ABS(BA77-(1/$AD$1))&lt;$U$2,ABS(BA77-(1/$AD$2))&lt;$U$2,ABS(BA77-(1/$AD$7))&lt;$U$2,ABS(BA77-(1/$AD$8))&lt;$U$2),1,0)</f>
        <v>0</v>
      </c>
      <c r="BF77" s="29">
        <f t="shared" si="48"/>
        <v>0</v>
      </c>
      <c r="BG77" s="26">
        <f t="shared" si="96"/>
        <v>1</v>
      </c>
      <c r="BH77" s="26">
        <f t="shared" si="49"/>
        <v>2249</v>
      </c>
      <c r="BI77" s="42">
        <f t="shared" si="50"/>
        <v>5.2584343748855185E-2</v>
      </c>
      <c r="BJ77" s="28">
        <f t="shared" si="51"/>
        <v>0.10531521301146562</v>
      </c>
      <c r="BK77" s="26">
        <f t="shared" ref="BK77:BK108" si="115">IF(OR(ABS(BJ77-(1/$AA$1))&lt;$U$2,ABS(BJ77-(1/$AA$2))&lt;$U$2,ABS(BJ77-(1/$AA$7))&lt;$U$2,ABS(BJ77-(1/$AA$8))&lt;$U$2),1,0)</f>
        <v>0</v>
      </c>
      <c r="BL77" s="26">
        <f t="shared" ref="BL77:BL106" si="116">IF(OR(ABS(BJ77-(1/$AB$1))&lt;$U$2,ABS(BJ77-(1/$AB$2))&lt;$U$2,ABS(BJ77-(1/$AB$7))&lt;$U$2,ABS(BJ77-(1/$AB$8))&lt;$U$2),1,0)</f>
        <v>0</v>
      </c>
      <c r="BM77" s="26">
        <f t="shared" ref="BM77:BM106" si="117">IF(OR(ABS(BJ77-(1/$AC$1))&lt;$U$2,ABS(BJ77-(1/$AC$2))&lt;$U$2,ABS(BJ77-(1/$AC$7))&lt;$U$2,ABS(BJ77-(1/$AC$8))&lt;$U$2),1,0)</f>
        <v>1</v>
      </c>
      <c r="BN77" s="32">
        <f t="shared" ref="BN77:BN106" si="118">IF(OR(ABS(BJ77-(1/$AD$1))&lt;$U$2,ABS(BJ77-(1/$AD$2))&lt;$U$2,ABS(BJ77-(1/$AD$7))&lt;$U$2,ABS(BJ77-(1/$AD$8))&lt;$U$2),1,0)</f>
        <v>0</v>
      </c>
    </row>
    <row r="78" spans="21:66" x14ac:dyDescent="0.3">
      <c r="U78">
        <v>501</v>
      </c>
      <c r="V78" s="31">
        <f t="shared" si="97"/>
        <v>0.50099800399201599</v>
      </c>
      <c r="W78" s="26">
        <f t="shared" si="88"/>
        <v>1</v>
      </c>
      <c r="X78" s="26">
        <f t="shared" si="89"/>
        <v>751</v>
      </c>
      <c r="Y78" s="42">
        <f t="shared" si="90"/>
        <v>6.3885900228304468E-2</v>
      </c>
      <c r="Z78" s="28">
        <f t="shared" si="91"/>
        <v>0.62449156322985278</v>
      </c>
      <c r="AA78" s="26">
        <f t="shared" si="92"/>
        <v>0</v>
      </c>
      <c r="AB78" s="26">
        <f t="shared" si="98"/>
        <v>0</v>
      </c>
      <c r="AC78" s="26">
        <f t="shared" si="93"/>
        <v>0</v>
      </c>
      <c r="AD78" s="32">
        <f t="shared" si="94"/>
        <v>0</v>
      </c>
      <c r="AE78" s="31">
        <f t="shared" si="99"/>
        <v>0.50299401197604787</v>
      </c>
      <c r="AF78" s="26">
        <f t="shared" si="100"/>
        <v>1</v>
      </c>
      <c r="AG78" s="26">
        <f t="shared" ref="AG78:AG106" si="119">SUM(U76:U78)</f>
        <v>1000</v>
      </c>
      <c r="AH78" s="42">
        <f t="shared" si="101"/>
        <v>0.16958196402699749</v>
      </c>
      <c r="AI78" s="28">
        <f t="shared" si="102"/>
        <v>0.41603943602247428</v>
      </c>
      <c r="AJ78" s="26">
        <f t="shared" si="103"/>
        <v>0</v>
      </c>
      <c r="AK78" s="26">
        <f t="shared" si="104"/>
        <v>0</v>
      </c>
      <c r="AL78" s="26">
        <f t="shared" si="105"/>
        <v>0</v>
      </c>
      <c r="AM78" s="32">
        <f t="shared" si="106"/>
        <v>0</v>
      </c>
      <c r="AN78" s="31">
        <f t="shared" si="43"/>
        <v>1.996007984031936E-3</v>
      </c>
      <c r="AO78" s="26">
        <f t="shared" ref="AO78:AO109" si="120">IF(OR(AN78&lt;=$U$1,ABS(AN78-0.5)&lt;=$U$1,ABS(AN78-1)&lt;=$U$1),1,0)</f>
        <v>1</v>
      </c>
      <c r="AP78" s="26">
        <f t="shared" si="44"/>
        <v>1500</v>
      </c>
      <c r="AQ78" s="42">
        <f t="shared" ref="AQ78:AQ109" si="121">ABS($AP$10-AP78)/$AP$10</f>
        <v>6.4875517837750835E-2</v>
      </c>
      <c r="AR78" s="28">
        <f t="shared" si="86"/>
        <v>0.31233157704219122</v>
      </c>
      <c r="AS78" s="26">
        <f t="shared" si="107"/>
        <v>0</v>
      </c>
      <c r="AT78" s="26">
        <f t="shared" si="108"/>
        <v>0</v>
      </c>
      <c r="AU78" s="26">
        <f t="shared" si="109"/>
        <v>0</v>
      </c>
      <c r="AV78" s="32">
        <f t="shared" si="110"/>
        <v>0</v>
      </c>
      <c r="AW78" s="31">
        <f t="shared" si="46"/>
        <v>3.9920159680638719E-3</v>
      </c>
      <c r="AX78" s="26">
        <f t="shared" si="95"/>
        <v>1</v>
      </c>
      <c r="AY78" s="26">
        <f t="shared" si="47"/>
        <v>1999</v>
      </c>
      <c r="AZ78" s="42">
        <f t="shared" si="85"/>
        <v>1.3683753258035996E-3</v>
      </c>
      <c r="BA78" s="28">
        <f t="shared" si="111"/>
        <v>0.25028236316246744</v>
      </c>
      <c r="BB78" s="26">
        <f t="shared" si="87"/>
        <v>1</v>
      </c>
      <c r="BC78" s="26">
        <f t="shared" si="112"/>
        <v>0</v>
      </c>
      <c r="BD78" s="26">
        <f t="shared" si="113"/>
        <v>0</v>
      </c>
      <c r="BE78" s="32">
        <f t="shared" si="114"/>
        <v>0</v>
      </c>
      <c r="BF78" s="29">
        <f t="shared" si="48"/>
        <v>0</v>
      </c>
      <c r="BG78" s="26">
        <f t="shared" si="96"/>
        <v>1</v>
      </c>
      <c r="BH78" s="26">
        <f t="shared" si="49"/>
        <v>2500</v>
      </c>
      <c r="BI78" s="42">
        <f t="shared" si="50"/>
        <v>5.3152130114656311E-2</v>
      </c>
      <c r="BJ78" s="28">
        <f t="shared" si="51"/>
        <v>0.21105168687497713</v>
      </c>
      <c r="BK78" s="26">
        <f t="shared" si="115"/>
        <v>0</v>
      </c>
      <c r="BL78" s="26">
        <f t="shared" si="116"/>
        <v>0</v>
      </c>
      <c r="BM78" s="26">
        <f t="shared" si="117"/>
        <v>0</v>
      </c>
      <c r="BN78" s="32">
        <f t="shared" si="118"/>
        <v>0</v>
      </c>
    </row>
    <row r="79" spans="21:66" x14ac:dyDescent="0.3">
      <c r="U79" s="1">
        <v>499</v>
      </c>
      <c r="V79" s="31">
        <f t="shared" si="97"/>
        <v>4.0080160320641279E-3</v>
      </c>
      <c r="W79" s="26">
        <f t="shared" si="88"/>
        <v>1</v>
      </c>
      <c r="X79" s="26">
        <f t="shared" si="89"/>
        <v>1000</v>
      </c>
      <c r="Y79" s="42">
        <f t="shared" si="90"/>
        <v>0.24649014616737089</v>
      </c>
      <c r="Z79" s="28">
        <f t="shared" si="91"/>
        <v>0.62199858293751809</v>
      </c>
      <c r="AA79" s="26">
        <f t="shared" si="92"/>
        <v>0</v>
      </c>
      <c r="AB79" s="26">
        <f t="shared" si="98"/>
        <v>0</v>
      </c>
      <c r="AC79" s="26">
        <f t="shared" si="93"/>
        <v>0</v>
      </c>
      <c r="AD79" s="32">
        <f t="shared" si="94"/>
        <v>0</v>
      </c>
      <c r="AE79" s="31">
        <f t="shared" si="99"/>
        <v>0.49899799599198397</v>
      </c>
      <c r="AF79" s="26">
        <f t="shared" si="100"/>
        <v>1</v>
      </c>
      <c r="AG79" s="26">
        <f t="shared" si="119"/>
        <v>1250</v>
      </c>
      <c r="AH79" s="42">
        <f t="shared" si="101"/>
        <v>3.8022544966253152E-2</v>
      </c>
      <c r="AI79" s="28">
        <f t="shared" si="102"/>
        <v>0.41437859995052828</v>
      </c>
      <c r="AJ79" s="26">
        <f t="shared" si="103"/>
        <v>0</v>
      </c>
      <c r="AK79" s="26">
        <f t="shared" si="104"/>
        <v>0</v>
      </c>
      <c r="AL79" s="26">
        <f t="shared" si="105"/>
        <v>0</v>
      </c>
      <c r="AM79" s="32">
        <f t="shared" si="106"/>
        <v>0</v>
      </c>
      <c r="AN79" s="31">
        <f t="shared" ref="AN79:AN106" si="122">ABS(U79-U76)/U79</f>
        <v>0.50100200400801598</v>
      </c>
      <c r="AO79" s="26">
        <f t="shared" si="120"/>
        <v>1</v>
      </c>
      <c r="AP79" s="26">
        <f t="shared" ref="AP79:AP106" si="123">SUM(U76:U79)</f>
        <v>1499</v>
      </c>
      <c r="AQ79" s="42">
        <f t="shared" si="121"/>
        <v>6.5498934159192335E-2</v>
      </c>
      <c r="AR79" s="28">
        <f t="shared" si="86"/>
        <v>0.31108474439930822</v>
      </c>
      <c r="AS79" s="26">
        <f t="shared" si="107"/>
        <v>0</v>
      </c>
      <c r="AT79" s="26">
        <f t="shared" si="108"/>
        <v>0</v>
      </c>
      <c r="AU79" s="26">
        <f t="shared" si="109"/>
        <v>0</v>
      </c>
      <c r="AV79" s="32">
        <f t="shared" si="110"/>
        <v>0</v>
      </c>
      <c r="AW79" s="31">
        <f t="shared" si="46"/>
        <v>2.004008016032064E-3</v>
      </c>
      <c r="AX79" s="26">
        <f t="shared" si="95"/>
        <v>1</v>
      </c>
      <c r="AY79" s="26">
        <f t="shared" si="47"/>
        <v>1999</v>
      </c>
      <c r="AZ79" s="42">
        <f t="shared" ref="AZ79:AZ110" si="124">ABS($AY$10-AY79)/$AY$10</f>
        <v>1.3683753258035996E-3</v>
      </c>
      <c r="BA79" s="28">
        <f t="shared" si="111"/>
        <v>0.24928323197219809</v>
      </c>
      <c r="BB79" s="26">
        <f t="shared" si="87"/>
        <v>1</v>
      </c>
      <c r="BC79" s="26">
        <f t="shared" si="112"/>
        <v>0</v>
      </c>
      <c r="BD79" s="26">
        <f t="shared" si="113"/>
        <v>0</v>
      </c>
      <c r="BE79" s="32">
        <f t="shared" si="114"/>
        <v>0</v>
      </c>
      <c r="BF79" s="29">
        <f t="shared" si="48"/>
        <v>0</v>
      </c>
      <c r="BG79" s="26">
        <f t="shared" si="96"/>
        <v>1</v>
      </c>
      <c r="BH79" s="26">
        <f t="shared" si="49"/>
        <v>2498</v>
      </c>
      <c r="BI79" s="42">
        <f t="shared" si="50"/>
        <v>5.2309608410564583E-2</v>
      </c>
      <c r="BJ79" s="28">
        <f t="shared" si="51"/>
        <v>0.21020916517088539</v>
      </c>
      <c r="BK79" s="26">
        <f t="shared" si="115"/>
        <v>0</v>
      </c>
      <c r="BL79" s="26">
        <f t="shared" si="116"/>
        <v>0</v>
      </c>
      <c r="BM79" s="26">
        <f t="shared" si="117"/>
        <v>0</v>
      </c>
      <c r="BN79" s="32">
        <f t="shared" si="118"/>
        <v>0</v>
      </c>
    </row>
    <row r="80" spans="21:66" x14ac:dyDescent="0.3">
      <c r="U80">
        <v>500</v>
      </c>
      <c r="V80" s="31">
        <f t="shared" si="97"/>
        <v>2E-3</v>
      </c>
      <c r="W80" s="26">
        <f t="shared" si="88"/>
        <v>1</v>
      </c>
      <c r="X80" s="26">
        <f t="shared" si="89"/>
        <v>999</v>
      </c>
      <c r="Y80" s="42">
        <f t="shared" si="90"/>
        <v>0.24524365602120352</v>
      </c>
      <c r="Z80" s="28">
        <f t="shared" si="91"/>
        <v>0.62324507308368549</v>
      </c>
      <c r="AA80" s="26">
        <f t="shared" si="92"/>
        <v>0</v>
      </c>
      <c r="AB80" s="26">
        <f t="shared" si="98"/>
        <v>0</v>
      </c>
      <c r="AC80" s="26">
        <f t="shared" si="93"/>
        <v>0</v>
      </c>
      <c r="AD80" s="32">
        <f t="shared" si="94"/>
        <v>0</v>
      </c>
      <c r="AE80" s="31">
        <f t="shared" si="99"/>
        <v>2E-3</v>
      </c>
      <c r="AF80" s="26">
        <f t="shared" si="100"/>
        <v>1</v>
      </c>
      <c r="AG80" s="26">
        <f t="shared" si="119"/>
        <v>1500</v>
      </c>
      <c r="AH80" s="42">
        <f t="shared" si="101"/>
        <v>0.24562705395950379</v>
      </c>
      <c r="AI80" s="28">
        <f t="shared" si="102"/>
        <v>0.41520901798650128</v>
      </c>
      <c r="AJ80" s="26">
        <f t="shared" si="103"/>
        <v>0</v>
      </c>
      <c r="AK80" s="26">
        <f t="shared" si="104"/>
        <v>0</v>
      </c>
      <c r="AL80" s="26">
        <f t="shared" si="105"/>
        <v>0</v>
      </c>
      <c r="AM80" s="32">
        <f t="shared" si="106"/>
        <v>0</v>
      </c>
      <c r="AN80" s="31">
        <f t="shared" si="122"/>
        <v>0.5</v>
      </c>
      <c r="AO80" s="26">
        <f t="shared" si="120"/>
        <v>1</v>
      </c>
      <c r="AP80" s="26">
        <f t="shared" si="123"/>
        <v>1750</v>
      </c>
      <c r="AQ80" s="42">
        <f t="shared" si="121"/>
        <v>9.0978562522624012E-2</v>
      </c>
      <c r="AR80" s="28">
        <f t="shared" si="86"/>
        <v>0.31170816072074969</v>
      </c>
      <c r="AS80" s="26">
        <f t="shared" si="107"/>
        <v>0</v>
      </c>
      <c r="AT80" s="26">
        <f t="shared" si="108"/>
        <v>0</v>
      </c>
      <c r="AU80" s="26">
        <f t="shared" si="109"/>
        <v>0</v>
      </c>
      <c r="AV80" s="32">
        <f t="shared" si="110"/>
        <v>0</v>
      </c>
      <c r="AW80" s="31">
        <f t="shared" ref="AW80:AW106" si="125">ABS(U80-U76)/U80</f>
        <v>0.502</v>
      </c>
      <c r="AX80" s="26">
        <f t="shared" si="95"/>
        <v>0</v>
      </c>
      <c r="AY80" s="26">
        <f t="shared" ref="AY80:AY106" si="126">SUM(U76:U80)</f>
        <v>1999</v>
      </c>
      <c r="AZ80" s="42">
        <f t="shared" si="124"/>
        <v>1.3683753258035996E-3</v>
      </c>
      <c r="BA80" s="28">
        <f t="shared" si="111"/>
        <v>0.24978279756733276</v>
      </c>
      <c r="BB80" s="26">
        <f t="shared" si="87"/>
        <v>1</v>
      </c>
      <c r="BC80" s="26">
        <f t="shared" si="112"/>
        <v>0</v>
      </c>
      <c r="BD80" s="26">
        <f t="shared" si="113"/>
        <v>0</v>
      </c>
      <c r="BE80" s="32">
        <f t="shared" si="114"/>
        <v>0</v>
      </c>
      <c r="BF80" s="29">
        <f t="shared" si="48"/>
        <v>0</v>
      </c>
      <c r="BG80" s="26">
        <f t="shared" si="96"/>
        <v>1</v>
      </c>
      <c r="BH80" s="26">
        <f t="shared" si="49"/>
        <v>2499</v>
      </c>
      <c r="BI80" s="42">
        <f t="shared" si="50"/>
        <v>5.2730869262610447E-2</v>
      </c>
      <c r="BJ80" s="28">
        <f t="shared" si="51"/>
        <v>0.21063042602293125</v>
      </c>
      <c r="BK80" s="26">
        <f t="shared" si="115"/>
        <v>0</v>
      </c>
      <c r="BL80" s="26">
        <f t="shared" si="116"/>
        <v>0</v>
      </c>
      <c r="BM80" s="26">
        <f t="shared" si="117"/>
        <v>0</v>
      </c>
      <c r="BN80" s="32">
        <f t="shared" si="118"/>
        <v>0</v>
      </c>
    </row>
    <row r="81" spans="21:66" x14ac:dyDescent="0.3">
      <c r="U81">
        <v>249</v>
      </c>
      <c r="V81" s="31">
        <f t="shared" si="97"/>
        <v>1.0080321285140563</v>
      </c>
      <c r="W81" s="26">
        <f t="shared" si="88"/>
        <v>1</v>
      </c>
      <c r="X81" s="26">
        <f t="shared" si="89"/>
        <v>749</v>
      </c>
      <c r="Y81" s="42">
        <f t="shared" si="90"/>
        <v>6.6378880520639214E-2</v>
      </c>
      <c r="Z81" s="28">
        <f t="shared" si="91"/>
        <v>0.31037604639567534</v>
      </c>
      <c r="AA81" s="26">
        <f t="shared" si="92"/>
        <v>0</v>
      </c>
      <c r="AB81" s="26">
        <f t="shared" si="98"/>
        <v>0</v>
      </c>
      <c r="AC81" s="26">
        <f t="shared" si="93"/>
        <v>0</v>
      </c>
      <c r="AD81" s="32">
        <f t="shared" si="94"/>
        <v>0</v>
      </c>
      <c r="AE81" s="31">
        <f t="shared" si="99"/>
        <v>1.0040160642570282</v>
      </c>
      <c r="AF81" s="26">
        <f t="shared" si="100"/>
        <v>1</v>
      </c>
      <c r="AG81" s="26">
        <f t="shared" si="119"/>
        <v>1248</v>
      </c>
      <c r="AH81" s="42">
        <f t="shared" si="101"/>
        <v>3.6361708894307149E-2</v>
      </c>
      <c r="AI81" s="28">
        <f t="shared" si="102"/>
        <v>0.20677409095727764</v>
      </c>
      <c r="AJ81" s="26">
        <f t="shared" si="103"/>
        <v>0</v>
      </c>
      <c r="AK81" s="26">
        <f t="shared" si="104"/>
        <v>0</v>
      </c>
      <c r="AL81" s="26">
        <f t="shared" si="105"/>
        <v>1</v>
      </c>
      <c r="AM81" s="32">
        <f t="shared" si="106"/>
        <v>0</v>
      </c>
      <c r="AN81" s="31">
        <f t="shared" si="122"/>
        <v>1.0120481927710843</v>
      </c>
      <c r="AO81" s="26">
        <f t="shared" si="120"/>
        <v>1</v>
      </c>
      <c r="AP81" s="26">
        <f t="shared" si="123"/>
        <v>1749</v>
      </c>
      <c r="AQ81" s="42">
        <f t="shared" si="121"/>
        <v>9.0355146201182526E-2</v>
      </c>
      <c r="AR81" s="28">
        <f t="shared" si="86"/>
        <v>0.15523066403893335</v>
      </c>
      <c r="AS81" s="26">
        <f t="shared" si="107"/>
        <v>0</v>
      </c>
      <c r="AT81" s="26">
        <f t="shared" si="108"/>
        <v>0</v>
      </c>
      <c r="AU81" s="26">
        <f t="shared" si="109"/>
        <v>0</v>
      </c>
      <c r="AV81" s="32">
        <f t="shared" si="110"/>
        <v>0</v>
      </c>
      <c r="AW81" s="31">
        <f t="shared" si="125"/>
        <v>4.0160642570281121E-3</v>
      </c>
      <c r="AX81" s="26">
        <f t="shared" si="95"/>
        <v>1</v>
      </c>
      <c r="AY81" s="26">
        <f t="shared" si="126"/>
        <v>1999</v>
      </c>
      <c r="AZ81" s="42">
        <f t="shared" si="124"/>
        <v>1.3683753258035996E-3</v>
      </c>
      <c r="BA81" s="28">
        <f t="shared" si="111"/>
        <v>0.12439183318853171</v>
      </c>
      <c r="BB81" s="26">
        <f t="shared" si="87"/>
        <v>1</v>
      </c>
      <c r="BC81" s="26">
        <f t="shared" si="112"/>
        <v>0</v>
      </c>
      <c r="BD81" s="26">
        <f t="shared" si="113"/>
        <v>0</v>
      </c>
      <c r="BE81" s="32">
        <f t="shared" si="114"/>
        <v>0</v>
      </c>
      <c r="BF81" s="29">
        <f t="shared" ref="BF81:BF106" si="127">ABS(U81-U76)/U81</f>
        <v>0</v>
      </c>
      <c r="BG81" s="26">
        <f t="shared" si="96"/>
        <v>1</v>
      </c>
      <c r="BH81" s="26">
        <f t="shared" ref="BH81:BH106" si="128">SUM(U76:U81)</f>
        <v>2248</v>
      </c>
      <c r="BI81" s="42">
        <f t="shared" ref="BI81:BI106" si="129">ABS($BH$10-BH81)/$BH$10</f>
        <v>5.3005604600901042E-2</v>
      </c>
      <c r="BJ81" s="28">
        <f t="shared" ref="BJ81:BJ106" si="130">U81/$BH$10</f>
        <v>0.10489395215941977</v>
      </c>
      <c r="BK81" s="26">
        <f t="shared" si="115"/>
        <v>0</v>
      </c>
      <c r="BL81" s="26">
        <f t="shared" si="116"/>
        <v>0</v>
      </c>
      <c r="BM81" s="26">
        <f t="shared" si="117"/>
        <v>1</v>
      </c>
      <c r="BN81" s="32">
        <f t="shared" si="118"/>
        <v>0</v>
      </c>
    </row>
    <row r="82" spans="21:66" x14ac:dyDescent="0.3">
      <c r="U82">
        <v>250</v>
      </c>
      <c r="V82" s="31">
        <f t="shared" si="97"/>
        <v>4.0000000000000001E-3</v>
      </c>
      <c r="W82" s="26">
        <f t="shared" si="88"/>
        <v>1</v>
      </c>
      <c r="X82" s="26">
        <f t="shared" si="89"/>
        <v>499</v>
      </c>
      <c r="Y82" s="42">
        <f t="shared" si="90"/>
        <v>0.37800141706248191</v>
      </c>
      <c r="Z82" s="28">
        <f t="shared" si="91"/>
        <v>0.31162253654184274</v>
      </c>
      <c r="AA82" s="26">
        <f t="shared" si="92"/>
        <v>0</v>
      </c>
      <c r="AB82" s="26">
        <f t="shared" si="98"/>
        <v>0</v>
      </c>
      <c r="AC82" s="26">
        <f t="shared" si="93"/>
        <v>0</v>
      </c>
      <c r="AD82" s="32">
        <f t="shared" si="94"/>
        <v>0</v>
      </c>
      <c r="AE82" s="31">
        <f t="shared" si="99"/>
        <v>1</v>
      </c>
      <c r="AF82" s="26">
        <f t="shared" si="100"/>
        <v>1</v>
      </c>
      <c r="AG82" s="26">
        <f t="shared" si="119"/>
        <v>999</v>
      </c>
      <c r="AH82" s="42">
        <f t="shared" si="101"/>
        <v>0.17041238206297049</v>
      </c>
      <c r="AI82" s="28">
        <f t="shared" si="102"/>
        <v>0.20760450899325064</v>
      </c>
      <c r="AJ82" s="26">
        <f t="shared" si="103"/>
        <v>0</v>
      </c>
      <c r="AK82" s="26">
        <f t="shared" si="104"/>
        <v>0</v>
      </c>
      <c r="AL82" s="26">
        <f t="shared" si="105"/>
        <v>1</v>
      </c>
      <c r="AM82" s="32">
        <f t="shared" si="106"/>
        <v>0</v>
      </c>
      <c r="AN82" s="31">
        <f t="shared" si="122"/>
        <v>0.996</v>
      </c>
      <c r="AO82" s="26">
        <f t="shared" si="120"/>
        <v>1</v>
      </c>
      <c r="AP82" s="26">
        <f t="shared" si="123"/>
        <v>1498</v>
      </c>
      <c r="AQ82" s="42">
        <f t="shared" si="121"/>
        <v>6.6122350480633835E-2</v>
      </c>
      <c r="AR82" s="28">
        <f t="shared" si="86"/>
        <v>0.15585408036037485</v>
      </c>
      <c r="AS82" s="26">
        <f t="shared" si="107"/>
        <v>0</v>
      </c>
      <c r="AT82" s="26">
        <f t="shared" si="108"/>
        <v>0</v>
      </c>
      <c r="AU82" s="26">
        <f t="shared" si="109"/>
        <v>0</v>
      </c>
      <c r="AV82" s="32">
        <f t="shared" si="110"/>
        <v>0</v>
      </c>
      <c r="AW82" s="31">
        <f t="shared" si="125"/>
        <v>1.004</v>
      </c>
      <c r="AX82" s="26">
        <f t="shared" si="95"/>
        <v>0</v>
      </c>
      <c r="AY82" s="26">
        <f t="shared" si="126"/>
        <v>1999</v>
      </c>
      <c r="AZ82" s="42">
        <f t="shared" si="124"/>
        <v>1.3683753258035996E-3</v>
      </c>
      <c r="BA82" s="28">
        <f t="shared" si="111"/>
        <v>0.12489139878366638</v>
      </c>
      <c r="BB82" s="26">
        <f t="shared" si="87"/>
        <v>1</v>
      </c>
      <c r="BC82" s="26">
        <f t="shared" si="112"/>
        <v>0</v>
      </c>
      <c r="BD82" s="26">
        <f t="shared" si="113"/>
        <v>0</v>
      </c>
      <c r="BE82" s="32">
        <f t="shared" si="114"/>
        <v>0</v>
      </c>
      <c r="BF82" s="29">
        <f t="shared" si="127"/>
        <v>0</v>
      </c>
      <c r="BG82" s="26">
        <f t="shared" si="96"/>
        <v>1</v>
      </c>
      <c r="BH82" s="26">
        <f t="shared" si="128"/>
        <v>2249</v>
      </c>
      <c r="BI82" s="42">
        <f t="shared" si="129"/>
        <v>5.2584343748855185E-2</v>
      </c>
      <c r="BJ82" s="28">
        <f t="shared" si="130"/>
        <v>0.10531521301146562</v>
      </c>
      <c r="BK82" s="26">
        <f t="shared" si="115"/>
        <v>0</v>
      </c>
      <c r="BL82" s="26">
        <f t="shared" si="116"/>
        <v>0</v>
      </c>
      <c r="BM82" s="26">
        <f t="shared" si="117"/>
        <v>1</v>
      </c>
      <c r="BN82" s="32">
        <f t="shared" si="118"/>
        <v>0</v>
      </c>
    </row>
    <row r="83" spans="21:66" x14ac:dyDescent="0.3">
      <c r="U83">
        <v>501</v>
      </c>
      <c r="V83" s="31">
        <f t="shared" si="97"/>
        <v>0.50099800399201599</v>
      </c>
      <c r="W83" s="26">
        <f t="shared" si="88"/>
        <v>1</v>
      </c>
      <c r="X83" s="26">
        <f t="shared" si="89"/>
        <v>751</v>
      </c>
      <c r="Y83" s="42">
        <f t="shared" si="90"/>
        <v>6.3885900228304468E-2</v>
      </c>
      <c r="Z83" s="28">
        <f t="shared" si="91"/>
        <v>0.62449156322985278</v>
      </c>
      <c r="AA83" s="26">
        <f t="shared" si="92"/>
        <v>0</v>
      </c>
      <c r="AB83" s="26">
        <f t="shared" si="98"/>
        <v>0</v>
      </c>
      <c r="AC83" s="26">
        <f t="shared" si="93"/>
        <v>0</v>
      </c>
      <c r="AD83" s="32">
        <f t="shared" si="94"/>
        <v>0</v>
      </c>
      <c r="AE83" s="31">
        <f t="shared" si="99"/>
        <v>0.50299401197604787</v>
      </c>
      <c r="AF83" s="26">
        <f t="shared" si="100"/>
        <v>1</v>
      </c>
      <c r="AG83" s="26">
        <f t="shared" si="119"/>
        <v>1000</v>
      </c>
      <c r="AH83" s="42">
        <f t="shared" si="101"/>
        <v>0.16958196402699749</v>
      </c>
      <c r="AI83" s="28">
        <f t="shared" si="102"/>
        <v>0.41603943602247428</v>
      </c>
      <c r="AJ83" s="26">
        <f t="shared" si="103"/>
        <v>0</v>
      </c>
      <c r="AK83" s="26">
        <f t="shared" si="104"/>
        <v>0</v>
      </c>
      <c r="AL83" s="26">
        <f t="shared" si="105"/>
        <v>0</v>
      </c>
      <c r="AM83" s="32">
        <f t="shared" si="106"/>
        <v>0</v>
      </c>
      <c r="AN83" s="31">
        <f t="shared" si="122"/>
        <v>1.996007984031936E-3</v>
      </c>
      <c r="AO83" s="26">
        <f t="shared" si="120"/>
        <v>1</v>
      </c>
      <c r="AP83" s="26">
        <f t="shared" si="123"/>
        <v>1500</v>
      </c>
      <c r="AQ83" s="42">
        <f t="shared" si="121"/>
        <v>6.4875517837750835E-2</v>
      </c>
      <c r="AR83" s="28">
        <f t="shared" si="86"/>
        <v>0.31233157704219122</v>
      </c>
      <c r="AS83" s="26">
        <f t="shared" si="107"/>
        <v>0</v>
      </c>
      <c r="AT83" s="26">
        <f t="shared" si="108"/>
        <v>0</v>
      </c>
      <c r="AU83" s="26">
        <f t="shared" si="109"/>
        <v>0</v>
      </c>
      <c r="AV83" s="32">
        <f t="shared" si="110"/>
        <v>0</v>
      </c>
      <c r="AW83" s="31">
        <f t="shared" si="125"/>
        <v>3.9920159680638719E-3</v>
      </c>
      <c r="AX83" s="26">
        <f t="shared" si="95"/>
        <v>1</v>
      </c>
      <c r="AY83" s="26">
        <f t="shared" si="126"/>
        <v>1999</v>
      </c>
      <c r="AZ83" s="42">
        <f t="shared" si="124"/>
        <v>1.3683753258035996E-3</v>
      </c>
      <c r="BA83" s="28">
        <f t="shared" si="111"/>
        <v>0.25028236316246744</v>
      </c>
      <c r="BB83" s="26">
        <f t="shared" si="87"/>
        <v>1</v>
      </c>
      <c r="BC83" s="26">
        <f t="shared" si="112"/>
        <v>0</v>
      </c>
      <c r="BD83" s="26">
        <f t="shared" si="113"/>
        <v>0</v>
      </c>
      <c r="BE83" s="32">
        <f t="shared" si="114"/>
        <v>0</v>
      </c>
      <c r="BF83" s="29">
        <f t="shared" si="127"/>
        <v>0</v>
      </c>
      <c r="BG83" s="26">
        <f t="shared" si="96"/>
        <v>1</v>
      </c>
      <c r="BH83" s="26">
        <f t="shared" si="128"/>
        <v>2500</v>
      </c>
      <c r="BI83" s="42">
        <f t="shared" si="129"/>
        <v>5.3152130114656311E-2</v>
      </c>
      <c r="BJ83" s="28">
        <f t="shared" si="130"/>
        <v>0.21105168687497713</v>
      </c>
      <c r="BK83" s="26">
        <f t="shared" si="115"/>
        <v>0</v>
      </c>
      <c r="BL83" s="26">
        <f t="shared" si="116"/>
        <v>0</v>
      </c>
      <c r="BM83" s="26">
        <f t="shared" si="117"/>
        <v>0</v>
      </c>
      <c r="BN83" s="32">
        <f t="shared" si="118"/>
        <v>0</v>
      </c>
    </row>
    <row r="84" spans="21:66" x14ac:dyDescent="0.3">
      <c r="U84" s="1">
        <v>499</v>
      </c>
      <c r="V84" s="31">
        <f t="shared" si="97"/>
        <v>4.0080160320641279E-3</v>
      </c>
      <c r="W84" s="26">
        <f t="shared" si="88"/>
        <v>1</v>
      </c>
      <c r="X84" s="26">
        <f t="shared" si="89"/>
        <v>1000</v>
      </c>
      <c r="Y84" s="42">
        <f t="shared" si="90"/>
        <v>0.24649014616737089</v>
      </c>
      <c r="Z84" s="28">
        <f t="shared" si="91"/>
        <v>0.62199858293751809</v>
      </c>
      <c r="AA84" s="26">
        <f t="shared" si="92"/>
        <v>0</v>
      </c>
      <c r="AB84" s="26">
        <f t="shared" si="98"/>
        <v>0</v>
      </c>
      <c r="AC84" s="26">
        <f t="shared" si="93"/>
        <v>0</v>
      </c>
      <c r="AD84" s="32">
        <f t="shared" si="94"/>
        <v>0</v>
      </c>
      <c r="AE84" s="31">
        <f t="shared" si="99"/>
        <v>0.49899799599198397</v>
      </c>
      <c r="AF84" s="26">
        <f t="shared" si="100"/>
        <v>1</v>
      </c>
      <c r="AG84" s="26">
        <f t="shared" si="119"/>
        <v>1250</v>
      </c>
      <c r="AH84" s="42">
        <f t="shared" si="101"/>
        <v>3.8022544966253152E-2</v>
      </c>
      <c r="AI84" s="28">
        <f t="shared" si="102"/>
        <v>0.41437859995052828</v>
      </c>
      <c r="AJ84" s="26">
        <f t="shared" si="103"/>
        <v>0</v>
      </c>
      <c r="AK84" s="26">
        <f t="shared" si="104"/>
        <v>0</v>
      </c>
      <c r="AL84" s="26">
        <f t="shared" si="105"/>
        <v>0</v>
      </c>
      <c r="AM84" s="32">
        <f t="shared" si="106"/>
        <v>0</v>
      </c>
      <c r="AN84" s="31">
        <f t="shared" si="122"/>
        <v>0.50100200400801598</v>
      </c>
      <c r="AO84" s="26">
        <f t="shared" si="120"/>
        <v>1</v>
      </c>
      <c r="AP84" s="26">
        <f t="shared" si="123"/>
        <v>1499</v>
      </c>
      <c r="AQ84" s="42">
        <f t="shared" si="121"/>
        <v>6.5498934159192335E-2</v>
      </c>
      <c r="AR84" s="28">
        <f t="shared" si="86"/>
        <v>0.31108474439930822</v>
      </c>
      <c r="AS84" s="26">
        <f t="shared" si="107"/>
        <v>0</v>
      </c>
      <c r="AT84" s="26">
        <f t="shared" si="108"/>
        <v>0</v>
      </c>
      <c r="AU84" s="26">
        <f t="shared" si="109"/>
        <v>0</v>
      </c>
      <c r="AV84" s="32">
        <f t="shared" si="110"/>
        <v>0</v>
      </c>
      <c r="AW84" s="31">
        <f t="shared" si="125"/>
        <v>2.004008016032064E-3</v>
      </c>
      <c r="AX84" s="26">
        <f t="shared" si="95"/>
        <v>1</v>
      </c>
      <c r="AY84" s="26">
        <f t="shared" si="126"/>
        <v>1999</v>
      </c>
      <c r="AZ84" s="42">
        <f t="shared" si="124"/>
        <v>1.3683753258035996E-3</v>
      </c>
      <c r="BA84" s="28">
        <f t="shared" si="111"/>
        <v>0.24928323197219809</v>
      </c>
      <c r="BB84" s="26">
        <f t="shared" si="87"/>
        <v>1</v>
      </c>
      <c r="BC84" s="26">
        <f t="shared" si="112"/>
        <v>0</v>
      </c>
      <c r="BD84" s="26">
        <f t="shared" si="113"/>
        <v>0</v>
      </c>
      <c r="BE84" s="32">
        <f t="shared" si="114"/>
        <v>0</v>
      </c>
      <c r="BF84" s="29">
        <f t="shared" si="127"/>
        <v>0</v>
      </c>
      <c r="BG84" s="26">
        <f t="shared" si="96"/>
        <v>1</v>
      </c>
      <c r="BH84" s="26">
        <f t="shared" si="128"/>
        <v>2498</v>
      </c>
      <c r="BI84" s="42">
        <f t="shared" si="129"/>
        <v>5.2309608410564583E-2</v>
      </c>
      <c r="BJ84" s="28">
        <f t="shared" si="130"/>
        <v>0.21020916517088539</v>
      </c>
      <c r="BK84" s="26">
        <f t="shared" si="115"/>
        <v>0</v>
      </c>
      <c r="BL84" s="26">
        <f t="shared" si="116"/>
        <v>0</v>
      </c>
      <c r="BM84" s="26">
        <f t="shared" si="117"/>
        <v>0</v>
      </c>
      <c r="BN84" s="32">
        <f t="shared" si="118"/>
        <v>0</v>
      </c>
    </row>
    <row r="85" spans="21:66" x14ac:dyDescent="0.3">
      <c r="U85">
        <v>500</v>
      </c>
      <c r="V85" s="31">
        <f t="shared" si="97"/>
        <v>2E-3</v>
      </c>
      <c r="W85" s="26">
        <f t="shared" si="88"/>
        <v>1</v>
      </c>
      <c r="X85" s="26">
        <f t="shared" si="89"/>
        <v>999</v>
      </c>
      <c r="Y85" s="42">
        <f t="shared" si="90"/>
        <v>0.24524365602120352</v>
      </c>
      <c r="Z85" s="28">
        <f t="shared" si="91"/>
        <v>0.62324507308368549</v>
      </c>
      <c r="AA85" s="26">
        <f t="shared" si="92"/>
        <v>0</v>
      </c>
      <c r="AB85" s="26">
        <f t="shared" si="98"/>
        <v>0</v>
      </c>
      <c r="AC85" s="26">
        <f t="shared" si="93"/>
        <v>0</v>
      </c>
      <c r="AD85" s="32">
        <f t="shared" si="94"/>
        <v>0</v>
      </c>
      <c r="AE85" s="31">
        <f t="shared" si="99"/>
        <v>2E-3</v>
      </c>
      <c r="AF85" s="26">
        <f t="shared" si="100"/>
        <v>1</v>
      </c>
      <c r="AG85" s="26">
        <f t="shared" si="119"/>
        <v>1500</v>
      </c>
      <c r="AH85" s="42">
        <f t="shared" si="101"/>
        <v>0.24562705395950379</v>
      </c>
      <c r="AI85" s="28">
        <f t="shared" si="102"/>
        <v>0.41520901798650128</v>
      </c>
      <c r="AJ85" s="26">
        <f t="shared" si="103"/>
        <v>0</v>
      </c>
      <c r="AK85" s="26">
        <f t="shared" si="104"/>
        <v>0</v>
      </c>
      <c r="AL85" s="26">
        <f t="shared" si="105"/>
        <v>0</v>
      </c>
      <c r="AM85" s="32">
        <f t="shared" si="106"/>
        <v>0</v>
      </c>
      <c r="AN85" s="31">
        <f t="shared" si="122"/>
        <v>0.5</v>
      </c>
      <c r="AO85" s="26">
        <f t="shared" si="120"/>
        <v>1</v>
      </c>
      <c r="AP85" s="26">
        <f t="shared" si="123"/>
        <v>1750</v>
      </c>
      <c r="AQ85" s="42">
        <f t="shared" si="121"/>
        <v>9.0978562522624012E-2</v>
      </c>
      <c r="AR85" s="28">
        <f t="shared" si="86"/>
        <v>0.31170816072074969</v>
      </c>
      <c r="AS85" s="26">
        <f t="shared" si="107"/>
        <v>0</v>
      </c>
      <c r="AT85" s="26">
        <f t="shared" si="108"/>
        <v>0</v>
      </c>
      <c r="AU85" s="26">
        <f t="shared" si="109"/>
        <v>0</v>
      </c>
      <c r="AV85" s="32">
        <f t="shared" si="110"/>
        <v>0</v>
      </c>
      <c r="AW85" s="31">
        <f t="shared" si="125"/>
        <v>0.502</v>
      </c>
      <c r="AX85" s="26">
        <f t="shared" si="95"/>
        <v>0</v>
      </c>
      <c r="AY85" s="26">
        <f t="shared" si="126"/>
        <v>1999</v>
      </c>
      <c r="AZ85" s="42">
        <f t="shared" si="124"/>
        <v>1.3683753258035996E-3</v>
      </c>
      <c r="BA85" s="28">
        <f t="shared" si="111"/>
        <v>0.24978279756733276</v>
      </c>
      <c r="BB85" s="26">
        <f t="shared" si="87"/>
        <v>1</v>
      </c>
      <c r="BC85" s="26">
        <f t="shared" si="112"/>
        <v>0</v>
      </c>
      <c r="BD85" s="26">
        <f t="shared" si="113"/>
        <v>0</v>
      </c>
      <c r="BE85" s="32">
        <f t="shared" si="114"/>
        <v>0</v>
      </c>
      <c r="BF85" s="29">
        <f t="shared" si="127"/>
        <v>0</v>
      </c>
      <c r="BG85" s="26">
        <f t="shared" si="96"/>
        <v>1</v>
      </c>
      <c r="BH85" s="26">
        <f t="shared" si="128"/>
        <v>2499</v>
      </c>
      <c r="BI85" s="42">
        <f t="shared" si="129"/>
        <v>5.2730869262610447E-2</v>
      </c>
      <c r="BJ85" s="28">
        <f t="shared" si="130"/>
        <v>0.21063042602293125</v>
      </c>
      <c r="BK85" s="26">
        <f t="shared" si="115"/>
        <v>0</v>
      </c>
      <c r="BL85" s="26">
        <f t="shared" si="116"/>
        <v>0</v>
      </c>
      <c r="BM85" s="26">
        <f t="shared" si="117"/>
        <v>0</v>
      </c>
      <c r="BN85" s="32">
        <f t="shared" si="118"/>
        <v>0</v>
      </c>
    </row>
    <row r="86" spans="21:66" x14ac:dyDescent="0.3">
      <c r="U86">
        <v>249</v>
      </c>
      <c r="V86" s="31">
        <f t="shared" si="97"/>
        <v>1.0080321285140563</v>
      </c>
      <c r="W86" s="26">
        <f t="shared" si="88"/>
        <v>1</v>
      </c>
      <c r="X86" s="26">
        <f t="shared" si="89"/>
        <v>749</v>
      </c>
      <c r="Y86" s="42">
        <f t="shared" si="90"/>
        <v>6.6378880520639214E-2</v>
      </c>
      <c r="Z86" s="28">
        <f t="shared" si="91"/>
        <v>0.31037604639567534</v>
      </c>
      <c r="AA86" s="26">
        <f t="shared" si="92"/>
        <v>0</v>
      </c>
      <c r="AB86" s="26">
        <f t="shared" si="98"/>
        <v>0</v>
      </c>
      <c r="AC86" s="26">
        <f t="shared" si="93"/>
        <v>0</v>
      </c>
      <c r="AD86" s="32">
        <f t="shared" si="94"/>
        <v>0</v>
      </c>
      <c r="AE86" s="31">
        <f t="shared" si="99"/>
        <v>1.0040160642570282</v>
      </c>
      <c r="AF86" s="26">
        <f t="shared" si="100"/>
        <v>1</v>
      </c>
      <c r="AG86" s="26">
        <f t="shared" si="119"/>
        <v>1248</v>
      </c>
      <c r="AH86" s="42">
        <f t="shared" si="101"/>
        <v>3.6361708894307149E-2</v>
      </c>
      <c r="AI86" s="28">
        <f t="shared" si="102"/>
        <v>0.20677409095727764</v>
      </c>
      <c r="AJ86" s="26">
        <f t="shared" si="103"/>
        <v>0</v>
      </c>
      <c r="AK86" s="26">
        <f t="shared" si="104"/>
        <v>0</v>
      </c>
      <c r="AL86" s="26">
        <f t="shared" si="105"/>
        <v>1</v>
      </c>
      <c r="AM86" s="32">
        <f t="shared" si="106"/>
        <v>0</v>
      </c>
      <c r="AN86" s="31">
        <f t="shared" si="122"/>
        <v>1.0120481927710843</v>
      </c>
      <c r="AO86" s="26">
        <f t="shared" si="120"/>
        <v>1</v>
      </c>
      <c r="AP86" s="26">
        <f t="shared" si="123"/>
        <v>1749</v>
      </c>
      <c r="AQ86" s="42">
        <f t="shared" si="121"/>
        <v>9.0355146201182526E-2</v>
      </c>
      <c r="AR86" s="28">
        <f t="shared" si="86"/>
        <v>0.15523066403893335</v>
      </c>
      <c r="AS86" s="26">
        <f t="shared" si="107"/>
        <v>0</v>
      </c>
      <c r="AT86" s="26">
        <f t="shared" si="108"/>
        <v>0</v>
      </c>
      <c r="AU86" s="26">
        <f t="shared" si="109"/>
        <v>0</v>
      </c>
      <c r="AV86" s="32">
        <f t="shared" si="110"/>
        <v>0</v>
      </c>
      <c r="AW86" s="31">
        <f t="shared" si="125"/>
        <v>4.0160642570281121E-3</v>
      </c>
      <c r="AX86" s="26">
        <f t="shared" si="95"/>
        <v>1</v>
      </c>
      <c r="AY86" s="26">
        <f t="shared" si="126"/>
        <v>1999</v>
      </c>
      <c r="AZ86" s="42">
        <f t="shared" si="124"/>
        <v>1.3683753258035996E-3</v>
      </c>
      <c r="BA86" s="28">
        <f t="shared" si="111"/>
        <v>0.12439183318853171</v>
      </c>
      <c r="BB86" s="26">
        <f t="shared" si="87"/>
        <v>1</v>
      </c>
      <c r="BC86" s="26">
        <f t="shared" si="112"/>
        <v>0</v>
      </c>
      <c r="BD86" s="26">
        <f t="shared" si="113"/>
        <v>0</v>
      </c>
      <c r="BE86" s="32">
        <f t="shared" si="114"/>
        <v>0</v>
      </c>
      <c r="BF86" s="29">
        <f t="shared" si="127"/>
        <v>0</v>
      </c>
      <c r="BG86" s="26">
        <f t="shared" si="96"/>
        <v>1</v>
      </c>
      <c r="BH86" s="26">
        <f t="shared" si="128"/>
        <v>2248</v>
      </c>
      <c r="BI86" s="42">
        <f t="shared" si="129"/>
        <v>5.3005604600901042E-2</v>
      </c>
      <c r="BJ86" s="28">
        <f t="shared" si="130"/>
        <v>0.10489395215941977</v>
      </c>
      <c r="BK86" s="26">
        <f t="shared" si="115"/>
        <v>0</v>
      </c>
      <c r="BL86" s="26">
        <f t="shared" si="116"/>
        <v>0</v>
      </c>
      <c r="BM86" s="26">
        <f t="shared" si="117"/>
        <v>1</v>
      </c>
      <c r="BN86" s="32">
        <f t="shared" si="118"/>
        <v>0</v>
      </c>
    </row>
    <row r="87" spans="21:66" x14ac:dyDescent="0.3">
      <c r="U87">
        <v>250</v>
      </c>
      <c r="V87" s="31">
        <f t="shared" si="97"/>
        <v>4.0000000000000001E-3</v>
      </c>
      <c r="W87" s="26">
        <f t="shared" si="88"/>
        <v>1</v>
      </c>
      <c r="X87" s="26">
        <f t="shared" si="89"/>
        <v>499</v>
      </c>
      <c r="Y87" s="42">
        <f t="shared" si="90"/>
        <v>0.37800141706248191</v>
      </c>
      <c r="Z87" s="28">
        <f t="shared" si="91"/>
        <v>0.31162253654184274</v>
      </c>
      <c r="AA87" s="26">
        <f t="shared" si="92"/>
        <v>0</v>
      </c>
      <c r="AB87" s="26">
        <f t="shared" si="98"/>
        <v>0</v>
      </c>
      <c r="AC87" s="26">
        <f t="shared" si="93"/>
        <v>0</v>
      </c>
      <c r="AD87" s="32">
        <f t="shared" si="94"/>
        <v>0</v>
      </c>
      <c r="AE87" s="31">
        <f t="shared" si="99"/>
        <v>1</v>
      </c>
      <c r="AF87" s="26">
        <f t="shared" si="100"/>
        <v>1</v>
      </c>
      <c r="AG87" s="26">
        <f t="shared" si="119"/>
        <v>999</v>
      </c>
      <c r="AH87" s="42">
        <f t="shared" si="101"/>
        <v>0.17041238206297049</v>
      </c>
      <c r="AI87" s="28">
        <f t="shared" si="102"/>
        <v>0.20760450899325064</v>
      </c>
      <c r="AJ87" s="26">
        <f t="shared" si="103"/>
        <v>0</v>
      </c>
      <c r="AK87" s="26">
        <f t="shared" si="104"/>
        <v>0</v>
      </c>
      <c r="AL87" s="26">
        <f t="shared" si="105"/>
        <v>1</v>
      </c>
      <c r="AM87" s="32">
        <f t="shared" si="106"/>
        <v>0</v>
      </c>
      <c r="AN87" s="31">
        <f t="shared" si="122"/>
        <v>0.996</v>
      </c>
      <c r="AO87" s="26">
        <f t="shared" si="120"/>
        <v>1</v>
      </c>
      <c r="AP87" s="26">
        <f t="shared" si="123"/>
        <v>1498</v>
      </c>
      <c r="AQ87" s="42">
        <f t="shared" si="121"/>
        <v>6.6122350480633835E-2</v>
      </c>
      <c r="AR87" s="28">
        <f t="shared" si="86"/>
        <v>0.15585408036037485</v>
      </c>
      <c r="AS87" s="26">
        <f t="shared" si="107"/>
        <v>0</v>
      </c>
      <c r="AT87" s="26">
        <f t="shared" si="108"/>
        <v>0</v>
      </c>
      <c r="AU87" s="26">
        <f t="shared" si="109"/>
        <v>0</v>
      </c>
      <c r="AV87" s="32">
        <f t="shared" si="110"/>
        <v>0</v>
      </c>
      <c r="AW87" s="31">
        <f t="shared" si="125"/>
        <v>1.004</v>
      </c>
      <c r="AX87" s="26">
        <f t="shared" si="95"/>
        <v>0</v>
      </c>
      <c r="AY87" s="26">
        <f t="shared" si="126"/>
        <v>1999</v>
      </c>
      <c r="AZ87" s="42">
        <f t="shared" si="124"/>
        <v>1.3683753258035996E-3</v>
      </c>
      <c r="BA87" s="28">
        <f t="shared" si="111"/>
        <v>0.12489139878366638</v>
      </c>
      <c r="BB87" s="26">
        <f t="shared" si="87"/>
        <v>1</v>
      </c>
      <c r="BC87" s="26">
        <f t="shared" si="112"/>
        <v>0</v>
      </c>
      <c r="BD87" s="26">
        <f t="shared" si="113"/>
        <v>0</v>
      </c>
      <c r="BE87" s="32">
        <f t="shared" si="114"/>
        <v>0</v>
      </c>
      <c r="BF87" s="29">
        <f t="shared" si="127"/>
        <v>0</v>
      </c>
      <c r="BG87" s="26">
        <f t="shared" si="96"/>
        <v>1</v>
      </c>
      <c r="BH87" s="26">
        <f t="shared" si="128"/>
        <v>2249</v>
      </c>
      <c r="BI87" s="42">
        <f t="shared" si="129"/>
        <v>5.2584343748855185E-2</v>
      </c>
      <c r="BJ87" s="28">
        <f t="shared" si="130"/>
        <v>0.10531521301146562</v>
      </c>
      <c r="BK87" s="26">
        <f t="shared" si="115"/>
        <v>0</v>
      </c>
      <c r="BL87" s="26">
        <f t="shared" si="116"/>
        <v>0</v>
      </c>
      <c r="BM87" s="26">
        <f t="shared" si="117"/>
        <v>1</v>
      </c>
      <c r="BN87" s="32">
        <f t="shared" si="118"/>
        <v>0</v>
      </c>
    </row>
    <row r="88" spans="21:66" x14ac:dyDescent="0.3">
      <c r="U88">
        <v>501</v>
      </c>
      <c r="V88" s="31">
        <f t="shared" si="97"/>
        <v>0.50099800399201599</v>
      </c>
      <c r="W88" s="26">
        <f t="shared" si="88"/>
        <v>1</v>
      </c>
      <c r="X88" s="26">
        <f t="shared" si="89"/>
        <v>751</v>
      </c>
      <c r="Y88" s="42">
        <f t="shared" si="90"/>
        <v>6.3885900228304468E-2</v>
      </c>
      <c r="Z88" s="28">
        <f t="shared" si="91"/>
        <v>0.62449156322985278</v>
      </c>
      <c r="AA88" s="26">
        <f t="shared" si="92"/>
        <v>0</v>
      </c>
      <c r="AB88" s="26">
        <f t="shared" si="98"/>
        <v>0</v>
      </c>
      <c r="AC88" s="26">
        <f t="shared" si="93"/>
        <v>0</v>
      </c>
      <c r="AD88" s="32">
        <f t="shared" si="94"/>
        <v>0</v>
      </c>
      <c r="AE88" s="31">
        <f t="shared" si="99"/>
        <v>0.50299401197604787</v>
      </c>
      <c r="AF88" s="26">
        <f t="shared" si="100"/>
        <v>1</v>
      </c>
      <c r="AG88" s="26">
        <f t="shared" si="119"/>
        <v>1000</v>
      </c>
      <c r="AH88" s="42">
        <f t="shared" si="101"/>
        <v>0.16958196402699749</v>
      </c>
      <c r="AI88" s="28">
        <f t="shared" si="102"/>
        <v>0.41603943602247428</v>
      </c>
      <c r="AJ88" s="26">
        <f t="shared" si="103"/>
        <v>0</v>
      </c>
      <c r="AK88" s="26">
        <f t="shared" si="104"/>
        <v>0</v>
      </c>
      <c r="AL88" s="26">
        <f t="shared" si="105"/>
        <v>0</v>
      </c>
      <c r="AM88" s="32">
        <f t="shared" si="106"/>
        <v>0</v>
      </c>
      <c r="AN88" s="31">
        <f t="shared" si="122"/>
        <v>1.996007984031936E-3</v>
      </c>
      <c r="AO88" s="26">
        <f t="shared" si="120"/>
        <v>1</v>
      </c>
      <c r="AP88" s="26">
        <f t="shared" si="123"/>
        <v>1500</v>
      </c>
      <c r="AQ88" s="42">
        <f t="shared" si="121"/>
        <v>6.4875517837750835E-2</v>
      </c>
      <c r="AR88" s="28">
        <f t="shared" si="86"/>
        <v>0.31233157704219122</v>
      </c>
      <c r="AS88" s="26">
        <f t="shared" si="107"/>
        <v>0</v>
      </c>
      <c r="AT88" s="26">
        <f t="shared" si="108"/>
        <v>0</v>
      </c>
      <c r="AU88" s="26">
        <f t="shared" si="109"/>
        <v>0</v>
      </c>
      <c r="AV88" s="32">
        <f t="shared" si="110"/>
        <v>0</v>
      </c>
      <c r="AW88" s="31">
        <f t="shared" si="125"/>
        <v>3.9920159680638719E-3</v>
      </c>
      <c r="AX88" s="26">
        <f t="shared" si="95"/>
        <v>1</v>
      </c>
      <c r="AY88" s="26">
        <f t="shared" si="126"/>
        <v>1999</v>
      </c>
      <c r="AZ88" s="42">
        <f t="shared" si="124"/>
        <v>1.3683753258035996E-3</v>
      </c>
      <c r="BA88" s="28">
        <f t="shared" si="111"/>
        <v>0.25028236316246744</v>
      </c>
      <c r="BB88" s="26">
        <f t="shared" si="87"/>
        <v>1</v>
      </c>
      <c r="BC88" s="26">
        <f t="shared" si="112"/>
        <v>0</v>
      </c>
      <c r="BD88" s="26">
        <f t="shared" si="113"/>
        <v>0</v>
      </c>
      <c r="BE88" s="32">
        <f t="shared" si="114"/>
        <v>0</v>
      </c>
      <c r="BF88" s="29">
        <f t="shared" si="127"/>
        <v>0</v>
      </c>
      <c r="BG88" s="26">
        <f t="shared" si="96"/>
        <v>1</v>
      </c>
      <c r="BH88" s="26">
        <f t="shared" si="128"/>
        <v>2500</v>
      </c>
      <c r="BI88" s="42">
        <f t="shared" si="129"/>
        <v>5.3152130114656311E-2</v>
      </c>
      <c r="BJ88" s="28">
        <f t="shared" si="130"/>
        <v>0.21105168687497713</v>
      </c>
      <c r="BK88" s="26">
        <f t="shared" si="115"/>
        <v>0</v>
      </c>
      <c r="BL88" s="26">
        <f t="shared" si="116"/>
        <v>0</v>
      </c>
      <c r="BM88" s="26">
        <f t="shared" si="117"/>
        <v>0</v>
      </c>
      <c r="BN88" s="32">
        <f t="shared" si="118"/>
        <v>0</v>
      </c>
    </row>
    <row r="89" spans="21:66" x14ac:dyDescent="0.3">
      <c r="U89" s="1">
        <v>499</v>
      </c>
      <c r="V89" s="31">
        <f t="shared" si="97"/>
        <v>4.0080160320641279E-3</v>
      </c>
      <c r="W89" s="26">
        <f t="shared" si="88"/>
        <v>1</v>
      </c>
      <c r="X89" s="26">
        <f t="shared" si="89"/>
        <v>1000</v>
      </c>
      <c r="Y89" s="42">
        <f t="shared" si="90"/>
        <v>0.24649014616737089</v>
      </c>
      <c r="Z89" s="28">
        <f t="shared" si="91"/>
        <v>0.62199858293751809</v>
      </c>
      <c r="AA89" s="26">
        <f t="shared" si="92"/>
        <v>0</v>
      </c>
      <c r="AB89" s="26">
        <f t="shared" si="98"/>
        <v>0</v>
      </c>
      <c r="AC89" s="26">
        <f t="shared" si="93"/>
        <v>0</v>
      </c>
      <c r="AD89" s="32">
        <f t="shared" si="94"/>
        <v>0</v>
      </c>
      <c r="AE89" s="31">
        <f t="shared" si="99"/>
        <v>0.49899799599198397</v>
      </c>
      <c r="AF89" s="26">
        <f t="shared" si="100"/>
        <v>1</v>
      </c>
      <c r="AG89" s="26">
        <f t="shared" si="119"/>
        <v>1250</v>
      </c>
      <c r="AH89" s="42">
        <f t="shared" si="101"/>
        <v>3.8022544966253152E-2</v>
      </c>
      <c r="AI89" s="28">
        <f t="shared" si="102"/>
        <v>0.41437859995052828</v>
      </c>
      <c r="AJ89" s="26">
        <f t="shared" si="103"/>
        <v>0</v>
      </c>
      <c r="AK89" s="26">
        <f t="shared" si="104"/>
        <v>0</v>
      </c>
      <c r="AL89" s="26">
        <f t="shared" si="105"/>
        <v>0</v>
      </c>
      <c r="AM89" s="32">
        <f t="shared" si="106"/>
        <v>0</v>
      </c>
      <c r="AN89" s="31">
        <f t="shared" si="122"/>
        <v>0.50100200400801598</v>
      </c>
      <c r="AO89" s="26">
        <f t="shared" si="120"/>
        <v>1</v>
      </c>
      <c r="AP89" s="26">
        <f t="shared" si="123"/>
        <v>1499</v>
      </c>
      <c r="AQ89" s="42">
        <f t="shared" si="121"/>
        <v>6.5498934159192335E-2</v>
      </c>
      <c r="AR89" s="28">
        <f t="shared" si="86"/>
        <v>0.31108474439930822</v>
      </c>
      <c r="AS89" s="26">
        <f t="shared" si="107"/>
        <v>0</v>
      </c>
      <c r="AT89" s="26">
        <f t="shared" si="108"/>
        <v>0</v>
      </c>
      <c r="AU89" s="26">
        <f t="shared" si="109"/>
        <v>0</v>
      </c>
      <c r="AV89" s="32">
        <f t="shared" si="110"/>
        <v>0</v>
      </c>
      <c r="AW89" s="31">
        <f t="shared" si="125"/>
        <v>2.004008016032064E-3</v>
      </c>
      <c r="AX89" s="26">
        <f t="shared" si="95"/>
        <v>1</v>
      </c>
      <c r="AY89" s="26">
        <f t="shared" si="126"/>
        <v>1999</v>
      </c>
      <c r="AZ89" s="42">
        <f t="shared" si="124"/>
        <v>1.3683753258035996E-3</v>
      </c>
      <c r="BA89" s="28">
        <f t="shared" si="111"/>
        <v>0.24928323197219809</v>
      </c>
      <c r="BB89" s="26">
        <f t="shared" si="87"/>
        <v>1</v>
      </c>
      <c r="BC89" s="26">
        <f t="shared" si="112"/>
        <v>0</v>
      </c>
      <c r="BD89" s="26">
        <f t="shared" si="113"/>
        <v>0</v>
      </c>
      <c r="BE89" s="32">
        <f t="shared" si="114"/>
        <v>0</v>
      </c>
      <c r="BF89" s="29">
        <f t="shared" si="127"/>
        <v>0</v>
      </c>
      <c r="BG89" s="26">
        <f t="shared" si="96"/>
        <v>1</v>
      </c>
      <c r="BH89" s="26">
        <f t="shared" si="128"/>
        <v>2498</v>
      </c>
      <c r="BI89" s="42">
        <f t="shared" si="129"/>
        <v>5.2309608410564583E-2</v>
      </c>
      <c r="BJ89" s="28">
        <f t="shared" si="130"/>
        <v>0.21020916517088539</v>
      </c>
      <c r="BK89" s="26">
        <f t="shared" si="115"/>
        <v>0</v>
      </c>
      <c r="BL89" s="26">
        <f t="shared" si="116"/>
        <v>0</v>
      </c>
      <c r="BM89" s="26">
        <f t="shared" si="117"/>
        <v>0</v>
      </c>
      <c r="BN89" s="32">
        <f t="shared" si="118"/>
        <v>0</v>
      </c>
    </row>
    <row r="90" spans="21:66" x14ac:dyDescent="0.3">
      <c r="U90">
        <v>500</v>
      </c>
      <c r="V90" s="31">
        <f t="shared" si="97"/>
        <v>2E-3</v>
      </c>
      <c r="W90" s="26">
        <f t="shared" si="88"/>
        <v>1</v>
      </c>
      <c r="X90" s="26">
        <f t="shared" si="89"/>
        <v>999</v>
      </c>
      <c r="Y90" s="42">
        <f t="shared" si="90"/>
        <v>0.24524365602120352</v>
      </c>
      <c r="Z90" s="28">
        <f t="shared" si="91"/>
        <v>0.62324507308368549</v>
      </c>
      <c r="AA90" s="26">
        <f t="shared" si="92"/>
        <v>0</v>
      </c>
      <c r="AB90" s="26">
        <f t="shared" si="98"/>
        <v>0</v>
      </c>
      <c r="AC90" s="26">
        <f t="shared" si="93"/>
        <v>0</v>
      </c>
      <c r="AD90" s="32">
        <f t="shared" si="94"/>
        <v>0</v>
      </c>
      <c r="AE90" s="31">
        <f t="shared" si="99"/>
        <v>2E-3</v>
      </c>
      <c r="AF90" s="26">
        <f t="shared" si="100"/>
        <v>1</v>
      </c>
      <c r="AG90" s="26">
        <f t="shared" si="119"/>
        <v>1500</v>
      </c>
      <c r="AH90" s="42">
        <f t="shared" si="101"/>
        <v>0.24562705395950379</v>
      </c>
      <c r="AI90" s="28">
        <f t="shared" si="102"/>
        <v>0.41520901798650128</v>
      </c>
      <c r="AJ90" s="26">
        <f t="shared" si="103"/>
        <v>0</v>
      </c>
      <c r="AK90" s="26">
        <f t="shared" si="104"/>
        <v>0</v>
      </c>
      <c r="AL90" s="26">
        <f t="shared" si="105"/>
        <v>0</v>
      </c>
      <c r="AM90" s="32">
        <f t="shared" si="106"/>
        <v>0</v>
      </c>
      <c r="AN90" s="31">
        <f t="shared" si="122"/>
        <v>0.5</v>
      </c>
      <c r="AO90" s="26">
        <f t="shared" si="120"/>
        <v>1</v>
      </c>
      <c r="AP90" s="26">
        <f t="shared" si="123"/>
        <v>1750</v>
      </c>
      <c r="AQ90" s="42">
        <f t="shared" si="121"/>
        <v>9.0978562522624012E-2</v>
      </c>
      <c r="AR90" s="28">
        <f t="shared" si="86"/>
        <v>0.31170816072074969</v>
      </c>
      <c r="AS90" s="26">
        <f t="shared" si="107"/>
        <v>0</v>
      </c>
      <c r="AT90" s="26">
        <f t="shared" si="108"/>
        <v>0</v>
      </c>
      <c r="AU90" s="26">
        <f t="shared" si="109"/>
        <v>0</v>
      </c>
      <c r="AV90" s="32">
        <f t="shared" si="110"/>
        <v>0</v>
      </c>
      <c r="AW90" s="31">
        <f t="shared" si="125"/>
        <v>0.502</v>
      </c>
      <c r="AX90" s="26">
        <f t="shared" si="95"/>
        <v>0</v>
      </c>
      <c r="AY90" s="26">
        <f t="shared" si="126"/>
        <v>1999</v>
      </c>
      <c r="AZ90" s="42">
        <f t="shared" si="124"/>
        <v>1.3683753258035996E-3</v>
      </c>
      <c r="BA90" s="28">
        <f t="shared" si="111"/>
        <v>0.24978279756733276</v>
      </c>
      <c r="BB90" s="26">
        <f t="shared" si="87"/>
        <v>1</v>
      </c>
      <c r="BC90" s="26">
        <f t="shared" si="112"/>
        <v>0</v>
      </c>
      <c r="BD90" s="26">
        <f t="shared" si="113"/>
        <v>0</v>
      </c>
      <c r="BE90" s="32">
        <f t="shared" si="114"/>
        <v>0</v>
      </c>
      <c r="BF90" s="29">
        <f t="shared" si="127"/>
        <v>0</v>
      </c>
      <c r="BG90" s="26">
        <f t="shared" si="96"/>
        <v>1</v>
      </c>
      <c r="BH90" s="26">
        <f t="shared" si="128"/>
        <v>2499</v>
      </c>
      <c r="BI90" s="42">
        <f t="shared" si="129"/>
        <v>5.2730869262610447E-2</v>
      </c>
      <c r="BJ90" s="28">
        <f t="shared" si="130"/>
        <v>0.21063042602293125</v>
      </c>
      <c r="BK90" s="26">
        <f t="shared" si="115"/>
        <v>0</v>
      </c>
      <c r="BL90" s="26">
        <f t="shared" si="116"/>
        <v>0</v>
      </c>
      <c r="BM90" s="26">
        <f t="shared" si="117"/>
        <v>0</v>
      </c>
      <c r="BN90" s="32">
        <f t="shared" si="118"/>
        <v>0</v>
      </c>
    </row>
    <row r="91" spans="21:66" x14ac:dyDescent="0.3">
      <c r="U91">
        <v>249</v>
      </c>
      <c r="V91" s="31">
        <f t="shared" si="97"/>
        <v>1.0080321285140563</v>
      </c>
      <c r="W91" s="26">
        <f t="shared" si="88"/>
        <v>1</v>
      </c>
      <c r="X91" s="26">
        <f t="shared" si="89"/>
        <v>749</v>
      </c>
      <c r="Y91" s="42">
        <f t="shared" si="90"/>
        <v>6.6378880520639214E-2</v>
      </c>
      <c r="Z91" s="28">
        <f t="shared" si="91"/>
        <v>0.31037604639567534</v>
      </c>
      <c r="AA91" s="26">
        <f t="shared" si="92"/>
        <v>0</v>
      </c>
      <c r="AB91" s="26">
        <f t="shared" si="98"/>
        <v>0</v>
      </c>
      <c r="AC91" s="26">
        <f t="shared" si="93"/>
        <v>0</v>
      </c>
      <c r="AD91" s="32">
        <f t="shared" si="94"/>
        <v>0</v>
      </c>
      <c r="AE91" s="31">
        <f t="shared" si="99"/>
        <v>1.0040160642570282</v>
      </c>
      <c r="AF91" s="26">
        <f t="shared" si="100"/>
        <v>1</v>
      </c>
      <c r="AG91" s="26">
        <f t="shared" si="119"/>
        <v>1248</v>
      </c>
      <c r="AH91" s="42">
        <f t="shared" si="101"/>
        <v>3.6361708894307149E-2</v>
      </c>
      <c r="AI91" s="28">
        <f t="shared" si="102"/>
        <v>0.20677409095727764</v>
      </c>
      <c r="AJ91" s="26">
        <f t="shared" si="103"/>
        <v>0</v>
      </c>
      <c r="AK91" s="26">
        <f t="shared" si="104"/>
        <v>0</v>
      </c>
      <c r="AL91" s="26">
        <f t="shared" si="105"/>
        <v>1</v>
      </c>
      <c r="AM91" s="32">
        <f t="shared" si="106"/>
        <v>0</v>
      </c>
      <c r="AN91" s="31">
        <f t="shared" si="122"/>
        <v>1.0120481927710843</v>
      </c>
      <c r="AO91" s="26">
        <f t="shared" si="120"/>
        <v>1</v>
      </c>
      <c r="AP91" s="26">
        <f t="shared" si="123"/>
        <v>1749</v>
      </c>
      <c r="AQ91" s="42">
        <f t="shared" si="121"/>
        <v>9.0355146201182526E-2</v>
      </c>
      <c r="AR91" s="28">
        <f t="shared" si="86"/>
        <v>0.15523066403893335</v>
      </c>
      <c r="AS91" s="26">
        <f t="shared" si="107"/>
        <v>0</v>
      </c>
      <c r="AT91" s="26">
        <f t="shared" si="108"/>
        <v>0</v>
      </c>
      <c r="AU91" s="26">
        <f t="shared" si="109"/>
        <v>0</v>
      </c>
      <c r="AV91" s="32">
        <f t="shared" si="110"/>
        <v>0</v>
      </c>
      <c r="AW91" s="31">
        <f t="shared" si="125"/>
        <v>4.0160642570281121E-3</v>
      </c>
      <c r="AX91" s="26">
        <f t="shared" si="95"/>
        <v>1</v>
      </c>
      <c r="AY91" s="26">
        <f t="shared" si="126"/>
        <v>1999</v>
      </c>
      <c r="AZ91" s="42">
        <f t="shared" si="124"/>
        <v>1.3683753258035996E-3</v>
      </c>
      <c r="BA91" s="28">
        <f t="shared" si="111"/>
        <v>0.12439183318853171</v>
      </c>
      <c r="BB91" s="26">
        <f t="shared" si="87"/>
        <v>1</v>
      </c>
      <c r="BC91" s="26">
        <f t="shared" si="112"/>
        <v>0</v>
      </c>
      <c r="BD91" s="26">
        <f t="shared" si="113"/>
        <v>0</v>
      </c>
      <c r="BE91" s="32">
        <f t="shared" si="114"/>
        <v>0</v>
      </c>
      <c r="BF91" s="29">
        <f t="shared" si="127"/>
        <v>0</v>
      </c>
      <c r="BG91" s="26">
        <f t="shared" si="96"/>
        <v>1</v>
      </c>
      <c r="BH91" s="26">
        <f t="shared" si="128"/>
        <v>2248</v>
      </c>
      <c r="BI91" s="42">
        <f t="shared" si="129"/>
        <v>5.3005604600901042E-2</v>
      </c>
      <c r="BJ91" s="28">
        <f t="shared" si="130"/>
        <v>0.10489395215941977</v>
      </c>
      <c r="BK91" s="26">
        <f t="shared" si="115"/>
        <v>0</v>
      </c>
      <c r="BL91" s="26">
        <f t="shared" si="116"/>
        <v>0</v>
      </c>
      <c r="BM91" s="26">
        <f t="shared" si="117"/>
        <v>1</v>
      </c>
      <c r="BN91" s="32">
        <f t="shared" si="118"/>
        <v>0</v>
      </c>
    </row>
    <row r="92" spans="21:66" x14ac:dyDescent="0.3">
      <c r="U92">
        <v>250</v>
      </c>
      <c r="V92" s="31">
        <f t="shared" si="97"/>
        <v>4.0000000000000001E-3</v>
      </c>
      <c r="W92" s="26">
        <f t="shared" si="88"/>
        <v>1</v>
      </c>
      <c r="X92" s="26">
        <f t="shared" si="89"/>
        <v>499</v>
      </c>
      <c r="Y92" s="42">
        <f t="shared" si="90"/>
        <v>0.37800141706248191</v>
      </c>
      <c r="Z92" s="28">
        <f t="shared" si="91"/>
        <v>0.31162253654184274</v>
      </c>
      <c r="AA92" s="26">
        <f t="shared" si="92"/>
        <v>0</v>
      </c>
      <c r="AB92" s="26">
        <f t="shared" si="98"/>
        <v>0</v>
      </c>
      <c r="AC92" s="26">
        <f t="shared" si="93"/>
        <v>0</v>
      </c>
      <c r="AD92" s="32">
        <f t="shared" si="94"/>
        <v>0</v>
      </c>
      <c r="AE92" s="31">
        <f t="shared" si="99"/>
        <v>1</v>
      </c>
      <c r="AF92" s="26">
        <f t="shared" si="100"/>
        <v>1</v>
      </c>
      <c r="AG92" s="26">
        <f t="shared" si="119"/>
        <v>999</v>
      </c>
      <c r="AH92" s="42">
        <f t="shared" si="101"/>
        <v>0.17041238206297049</v>
      </c>
      <c r="AI92" s="28">
        <f t="shared" si="102"/>
        <v>0.20760450899325064</v>
      </c>
      <c r="AJ92" s="26">
        <f t="shared" si="103"/>
        <v>0</v>
      </c>
      <c r="AK92" s="26">
        <f t="shared" si="104"/>
        <v>0</v>
      </c>
      <c r="AL92" s="26">
        <f t="shared" si="105"/>
        <v>1</v>
      </c>
      <c r="AM92" s="32">
        <f t="shared" si="106"/>
        <v>0</v>
      </c>
      <c r="AN92" s="31">
        <f t="shared" si="122"/>
        <v>0.996</v>
      </c>
      <c r="AO92" s="26">
        <f t="shared" si="120"/>
        <v>1</v>
      </c>
      <c r="AP92" s="26">
        <f t="shared" si="123"/>
        <v>1498</v>
      </c>
      <c r="AQ92" s="42">
        <f t="shared" si="121"/>
        <v>6.6122350480633835E-2</v>
      </c>
      <c r="AR92" s="28">
        <f t="shared" si="86"/>
        <v>0.15585408036037485</v>
      </c>
      <c r="AS92" s="26">
        <f t="shared" si="107"/>
        <v>0</v>
      </c>
      <c r="AT92" s="26">
        <f t="shared" si="108"/>
        <v>0</v>
      </c>
      <c r="AU92" s="26">
        <f t="shared" si="109"/>
        <v>0</v>
      </c>
      <c r="AV92" s="32">
        <f t="shared" si="110"/>
        <v>0</v>
      </c>
      <c r="AW92" s="31">
        <f t="shared" si="125"/>
        <v>1.004</v>
      </c>
      <c r="AX92" s="26">
        <f t="shared" si="95"/>
        <v>0</v>
      </c>
      <c r="AY92" s="26">
        <f t="shared" si="126"/>
        <v>1999</v>
      </c>
      <c r="AZ92" s="42">
        <f t="shared" si="124"/>
        <v>1.3683753258035996E-3</v>
      </c>
      <c r="BA92" s="28">
        <f t="shared" si="111"/>
        <v>0.12489139878366638</v>
      </c>
      <c r="BB92" s="26">
        <f t="shared" si="87"/>
        <v>1</v>
      </c>
      <c r="BC92" s="26">
        <f t="shared" si="112"/>
        <v>0</v>
      </c>
      <c r="BD92" s="26">
        <f t="shared" si="113"/>
        <v>0</v>
      </c>
      <c r="BE92" s="32">
        <f t="shared" si="114"/>
        <v>0</v>
      </c>
      <c r="BF92" s="29">
        <f t="shared" si="127"/>
        <v>0</v>
      </c>
      <c r="BG92" s="26">
        <f t="shared" si="96"/>
        <v>1</v>
      </c>
      <c r="BH92" s="26">
        <f t="shared" si="128"/>
        <v>2249</v>
      </c>
      <c r="BI92" s="42">
        <f t="shared" si="129"/>
        <v>5.2584343748855185E-2</v>
      </c>
      <c r="BJ92" s="28">
        <f t="shared" si="130"/>
        <v>0.10531521301146562</v>
      </c>
      <c r="BK92" s="26">
        <f t="shared" si="115"/>
        <v>0</v>
      </c>
      <c r="BL92" s="26">
        <f t="shared" si="116"/>
        <v>0</v>
      </c>
      <c r="BM92" s="26">
        <f t="shared" si="117"/>
        <v>1</v>
      </c>
      <c r="BN92" s="32">
        <f t="shared" si="118"/>
        <v>0</v>
      </c>
    </row>
    <row r="93" spans="21:66" x14ac:dyDescent="0.3">
      <c r="U93">
        <v>501</v>
      </c>
      <c r="V93" s="31">
        <f t="shared" si="97"/>
        <v>0.50099800399201599</v>
      </c>
      <c r="W93" s="26">
        <f t="shared" si="88"/>
        <v>1</v>
      </c>
      <c r="X93" s="26">
        <f t="shared" si="89"/>
        <v>751</v>
      </c>
      <c r="Y93" s="42">
        <f t="shared" si="90"/>
        <v>6.3885900228304468E-2</v>
      </c>
      <c r="Z93" s="28">
        <f t="shared" si="91"/>
        <v>0.62449156322985278</v>
      </c>
      <c r="AA93" s="26">
        <f t="shared" si="92"/>
        <v>0</v>
      </c>
      <c r="AB93" s="26">
        <f t="shared" si="98"/>
        <v>0</v>
      </c>
      <c r="AC93" s="26">
        <f t="shared" si="93"/>
        <v>0</v>
      </c>
      <c r="AD93" s="32">
        <f t="shared" si="94"/>
        <v>0</v>
      </c>
      <c r="AE93" s="31">
        <f t="shared" si="99"/>
        <v>0.50299401197604787</v>
      </c>
      <c r="AF93" s="26">
        <f t="shared" si="100"/>
        <v>1</v>
      </c>
      <c r="AG93" s="26">
        <f t="shared" si="119"/>
        <v>1000</v>
      </c>
      <c r="AH93" s="42">
        <f t="shared" si="101"/>
        <v>0.16958196402699749</v>
      </c>
      <c r="AI93" s="28">
        <f t="shared" si="102"/>
        <v>0.41603943602247428</v>
      </c>
      <c r="AJ93" s="26">
        <f t="shared" si="103"/>
        <v>0</v>
      </c>
      <c r="AK93" s="26">
        <f t="shared" si="104"/>
        <v>0</v>
      </c>
      <c r="AL93" s="26">
        <f t="shared" si="105"/>
        <v>0</v>
      </c>
      <c r="AM93" s="32">
        <f t="shared" si="106"/>
        <v>0</v>
      </c>
      <c r="AN93" s="31">
        <f t="shared" si="122"/>
        <v>1.996007984031936E-3</v>
      </c>
      <c r="AO93" s="26">
        <f t="shared" si="120"/>
        <v>1</v>
      </c>
      <c r="AP93" s="26">
        <f t="shared" si="123"/>
        <v>1500</v>
      </c>
      <c r="AQ93" s="42">
        <f t="shared" si="121"/>
        <v>6.4875517837750835E-2</v>
      </c>
      <c r="AR93" s="28">
        <f t="shared" si="86"/>
        <v>0.31233157704219122</v>
      </c>
      <c r="AS93" s="26">
        <f t="shared" si="107"/>
        <v>0</v>
      </c>
      <c r="AT93" s="26">
        <f t="shared" si="108"/>
        <v>0</v>
      </c>
      <c r="AU93" s="26">
        <f t="shared" si="109"/>
        <v>0</v>
      </c>
      <c r="AV93" s="32">
        <f t="shared" si="110"/>
        <v>0</v>
      </c>
      <c r="AW93" s="31">
        <f t="shared" si="125"/>
        <v>3.9920159680638719E-3</v>
      </c>
      <c r="AX93" s="26">
        <f t="shared" si="95"/>
        <v>1</v>
      </c>
      <c r="AY93" s="26">
        <f t="shared" si="126"/>
        <v>1999</v>
      </c>
      <c r="AZ93" s="42">
        <f t="shared" si="124"/>
        <v>1.3683753258035996E-3</v>
      </c>
      <c r="BA93" s="28">
        <f t="shared" si="111"/>
        <v>0.25028236316246744</v>
      </c>
      <c r="BB93" s="26">
        <f t="shared" si="87"/>
        <v>1</v>
      </c>
      <c r="BC93" s="26">
        <f t="shared" si="112"/>
        <v>0</v>
      </c>
      <c r="BD93" s="26">
        <f t="shared" si="113"/>
        <v>0</v>
      </c>
      <c r="BE93" s="32">
        <f t="shared" si="114"/>
        <v>0</v>
      </c>
      <c r="BF93" s="29">
        <f t="shared" si="127"/>
        <v>0</v>
      </c>
      <c r="BG93" s="26">
        <f t="shared" si="96"/>
        <v>1</v>
      </c>
      <c r="BH93" s="26">
        <f t="shared" si="128"/>
        <v>2500</v>
      </c>
      <c r="BI93" s="42">
        <f t="shared" si="129"/>
        <v>5.3152130114656311E-2</v>
      </c>
      <c r="BJ93" s="28">
        <f t="shared" si="130"/>
        <v>0.21105168687497713</v>
      </c>
      <c r="BK93" s="26">
        <f t="shared" si="115"/>
        <v>0</v>
      </c>
      <c r="BL93" s="26">
        <f t="shared" si="116"/>
        <v>0</v>
      </c>
      <c r="BM93" s="26">
        <f t="shared" si="117"/>
        <v>0</v>
      </c>
      <c r="BN93" s="32">
        <f t="shared" si="118"/>
        <v>0</v>
      </c>
    </row>
    <row r="94" spans="21:66" x14ac:dyDescent="0.3">
      <c r="U94" s="1">
        <v>499</v>
      </c>
      <c r="V94" s="31">
        <f t="shared" si="97"/>
        <v>4.0080160320641279E-3</v>
      </c>
      <c r="W94" s="26">
        <f t="shared" si="88"/>
        <v>1</v>
      </c>
      <c r="X94" s="26">
        <f t="shared" si="89"/>
        <v>1000</v>
      </c>
      <c r="Y94" s="42">
        <f t="shared" si="90"/>
        <v>0.24649014616737089</v>
      </c>
      <c r="Z94" s="28">
        <f t="shared" si="91"/>
        <v>0.62199858293751809</v>
      </c>
      <c r="AA94" s="26">
        <f t="shared" si="92"/>
        <v>0</v>
      </c>
      <c r="AB94" s="26">
        <f t="shared" si="98"/>
        <v>0</v>
      </c>
      <c r="AC94" s="26">
        <f t="shared" si="93"/>
        <v>0</v>
      </c>
      <c r="AD94" s="32">
        <f t="shared" si="94"/>
        <v>0</v>
      </c>
      <c r="AE94" s="31">
        <f t="shared" si="99"/>
        <v>0.49899799599198397</v>
      </c>
      <c r="AF94" s="26">
        <f t="shared" si="100"/>
        <v>1</v>
      </c>
      <c r="AG94" s="26">
        <f t="shared" si="119"/>
        <v>1250</v>
      </c>
      <c r="AH94" s="42">
        <f t="shared" si="101"/>
        <v>3.8022544966253152E-2</v>
      </c>
      <c r="AI94" s="28">
        <f t="shared" si="102"/>
        <v>0.41437859995052828</v>
      </c>
      <c r="AJ94" s="26">
        <f t="shared" si="103"/>
        <v>0</v>
      </c>
      <c r="AK94" s="26">
        <f t="shared" si="104"/>
        <v>0</v>
      </c>
      <c r="AL94" s="26">
        <f t="shared" si="105"/>
        <v>0</v>
      </c>
      <c r="AM94" s="32">
        <f t="shared" si="106"/>
        <v>0</v>
      </c>
      <c r="AN94" s="31">
        <f t="shared" si="122"/>
        <v>0.50100200400801598</v>
      </c>
      <c r="AO94" s="26">
        <f t="shared" si="120"/>
        <v>1</v>
      </c>
      <c r="AP94" s="26">
        <f t="shared" si="123"/>
        <v>1499</v>
      </c>
      <c r="AQ94" s="42">
        <f t="shared" si="121"/>
        <v>6.5498934159192335E-2</v>
      </c>
      <c r="AR94" s="28">
        <f t="shared" si="86"/>
        <v>0.31108474439930822</v>
      </c>
      <c r="AS94" s="26">
        <f t="shared" si="107"/>
        <v>0</v>
      </c>
      <c r="AT94" s="26">
        <f t="shared" si="108"/>
        <v>0</v>
      </c>
      <c r="AU94" s="26">
        <f t="shared" si="109"/>
        <v>0</v>
      </c>
      <c r="AV94" s="32">
        <f t="shared" si="110"/>
        <v>0</v>
      </c>
      <c r="AW94" s="31">
        <f t="shared" si="125"/>
        <v>2.004008016032064E-3</v>
      </c>
      <c r="AX94" s="26">
        <f t="shared" si="95"/>
        <v>1</v>
      </c>
      <c r="AY94" s="26">
        <f t="shared" si="126"/>
        <v>1999</v>
      </c>
      <c r="AZ94" s="42">
        <f t="shared" si="124"/>
        <v>1.3683753258035996E-3</v>
      </c>
      <c r="BA94" s="28">
        <f t="shared" si="111"/>
        <v>0.24928323197219809</v>
      </c>
      <c r="BB94" s="26">
        <f t="shared" si="87"/>
        <v>1</v>
      </c>
      <c r="BC94" s="26">
        <f t="shared" si="112"/>
        <v>0</v>
      </c>
      <c r="BD94" s="26">
        <f t="shared" si="113"/>
        <v>0</v>
      </c>
      <c r="BE94" s="32">
        <f t="shared" si="114"/>
        <v>0</v>
      </c>
      <c r="BF94" s="29">
        <f t="shared" si="127"/>
        <v>0</v>
      </c>
      <c r="BG94" s="26">
        <f t="shared" si="96"/>
        <v>1</v>
      </c>
      <c r="BH94" s="26">
        <f t="shared" si="128"/>
        <v>2498</v>
      </c>
      <c r="BI94" s="42">
        <f t="shared" si="129"/>
        <v>5.2309608410564583E-2</v>
      </c>
      <c r="BJ94" s="28">
        <f t="shared" si="130"/>
        <v>0.21020916517088539</v>
      </c>
      <c r="BK94" s="26">
        <f t="shared" si="115"/>
        <v>0</v>
      </c>
      <c r="BL94" s="26">
        <f t="shared" si="116"/>
        <v>0</v>
      </c>
      <c r="BM94" s="26">
        <f t="shared" si="117"/>
        <v>0</v>
      </c>
      <c r="BN94" s="32">
        <f t="shared" si="118"/>
        <v>0</v>
      </c>
    </row>
    <row r="95" spans="21:66" x14ac:dyDescent="0.3">
      <c r="U95">
        <v>500</v>
      </c>
      <c r="V95" s="31">
        <f t="shared" si="97"/>
        <v>2E-3</v>
      </c>
      <c r="W95" s="26">
        <f t="shared" si="88"/>
        <v>1</v>
      </c>
      <c r="X95" s="26">
        <f t="shared" si="89"/>
        <v>999</v>
      </c>
      <c r="Y95" s="42">
        <f t="shared" si="90"/>
        <v>0.24524365602120352</v>
      </c>
      <c r="Z95" s="28">
        <f t="shared" si="91"/>
        <v>0.62324507308368549</v>
      </c>
      <c r="AA95" s="26">
        <f t="shared" si="92"/>
        <v>0</v>
      </c>
      <c r="AB95" s="26">
        <f t="shared" si="98"/>
        <v>0</v>
      </c>
      <c r="AC95" s="26">
        <f t="shared" si="93"/>
        <v>0</v>
      </c>
      <c r="AD95" s="32">
        <f t="shared" si="94"/>
        <v>0</v>
      </c>
      <c r="AE95" s="31">
        <f t="shared" si="99"/>
        <v>2E-3</v>
      </c>
      <c r="AF95" s="26">
        <f t="shared" si="100"/>
        <v>1</v>
      </c>
      <c r="AG95" s="26">
        <f t="shared" si="119"/>
        <v>1500</v>
      </c>
      <c r="AH95" s="42">
        <f t="shared" si="101"/>
        <v>0.24562705395950379</v>
      </c>
      <c r="AI95" s="28">
        <f t="shared" si="102"/>
        <v>0.41520901798650128</v>
      </c>
      <c r="AJ95" s="26">
        <f t="shared" si="103"/>
        <v>0</v>
      </c>
      <c r="AK95" s="26">
        <f t="shared" si="104"/>
        <v>0</v>
      </c>
      <c r="AL95" s="26">
        <f t="shared" si="105"/>
        <v>0</v>
      </c>
      <c r="AM95" s="32">
        <f t="shared" si="106"/>
        <v>0</v>
      </c>
      <c r="AN95" s="31">
        <f t="shared" si="122"/>
        <v>0.5</v>
      </c>
      <c r="AO95" s="26">
        <f t="shared" si="120"/>
        <v>1</v>
      </c>
      <c r="AP95" s="26">
        <f t="shared" si="123"/>
        <v>1750</v>
      </c>
      <c r="AQ95" s="42">
        <f t="shared" si="121"/>
        <v>9.0978562522624012E-2</v>
      </c>
      <c r="AR95" s="28">
        <f t="shared" si="86"/>
        <v>0.31170816072074969</v>
      </c>
      <c r="AS95" s="26">
        <f t="shared" si="107"/>
        <v>0</v>
      </c>
      <c r="AT95" s="26">
        <f t="shared" si="108"/>
        <v>0</v>
      </c>
      <c r="AU95" s="26">
        <f t="shared" si="109"/>
        <v>0</v>
      </c>
      <c r="AV95" s="32">
        <f t="shared" si="110"/>
        <v>0</v>
      </c>
      <c r="AW95" s="31">
        <f t="shared" si="125"/>
        <v>0.502</v>
      </c>
      <c r="AX95" s="26">
        <f t="shared" si="95"/>
        <v>0</v>
      </c>
      <c r="AY95" s="26">
        <f t="shared" si="126"/>
        <v>1999</v>
      </c>
      <c r="AZ95" s="42">
        <f t="shared" si="124"/>
        <v>1.3683753258035996E-3</v>
      </c>
      <c r="BA95" s="28">
        <f t="shared" si="111"/>
        <v>0.24978279756733276</v>
      </c>
      <c r="BB95" s="26">
        <f t="shared" si="87"/>
        <v>1</v>
      </c>
      <c r="BC95" s="26">
        <f t="shared" si="112"/>
        <v>0</v>
      </c>
      <c r="BD95" s="26">
        <f t="shared" si="113"/>
        <v>0</v>
      </c>
      <c r="BE95" s="32">
        <f t="shared" si="114"/>
        <v>0</v>
      </c>
      <c r="BF95" s="29">
        <f t="shared" si="127"/>
        <v>0</v>
      </c>
      <c r="BG95" s="26">
        <f t="shared" si="96"/>
        <v>1</v>
      </c>
      <c r="BH95" s="26">
        <f t="shared" si="128"/>
        <v>2499</v>
      </c>
      <c r="BI95" s="42">
        <f t="shared" si="129"/>
        <v>5.2730869262610447E-2</v>
      </c>
      <c r="BJ95" s="28">
        <f t="shared" si="130"/>
        <v>0.21063042602293125</v>
      </c>
      <c r="BK95" s="26">
        <f t="shared" si="115"/>
        <v>0</v>
      </c>
      <c r="BL95" s="26">
        <f t="shared" si="116"/>
        <v>0</v>
      </c>
      <c r="BM95" s="26">
        <f t="shared" si="117"/>
        <v>0</v>
      </c>
      <c r="BN95" s="32">
        <f t="shared" si="118"/>
        <v>0</v>
      </c>
    </row>
    <row r="96" spans="21:66" x14ac:dyDescent="0.3">
      <c r="U96">
        <v>249</v>
      </c>
      <c r="V96" s="31">
        <f t="shared" si="97"/>
        <v>1.0080321285140563</v>
      </c>
      <c r="W96" s="26">
        <f t="shared" si="88"/>
        <v>1</v>
      </c>
      <c r="X96" s="26">
        <f t="shared" si="89"/>
        <v>749</v>
      </c>
      <c r="Y96" s="42">
        <f t="shared" si="90"/>
        <v>6.6378880520639214E-2</v>
      </c>
      <c r="Z96" s="28">
        <f t="shared" si="91"/>
        <v>0.31037604639567534</v>
      </c>
      <c r="AA96" s="26">
        <f t="shared" si="92"/>
        <v>0</v>
      </c>
      <c r="AB96" s="26">
        <f t="shared" si="98"/>
        <v>0</v>
      </c>
      <c r="AC96" s="26">
        <f t="shared" si="93"/>
        <v>0</v>
      </c>
      <c r="AD96" s="32">
        <f t="shared" si="94"/>
        <v>0</v>
      </c>
      <c r="AE96" s="31">
        <f t="shared" si="99"/>
        <v>1.0040160642570282</v>
      </c>
      <c r="AF96" s="26">
        <f t="shared" si="100"/>
        <v>1</v>
      </c>
      <c r="AG96" s="26">
        <f t="shared" si="119"/>
        <v>1248</v>
      </c>
      <c r="AH96" s="42">
        <f t="shared" si="101"/>
        <v>3.6361708894307149E-2</v>
      </c>
      <c r="AI96" s="28">
        <f t="shared" si="102"/>
        <v>0.20677409095727764</v>
      </c>
      <c r="AJ96" s="26">
        <f t="shared" si="103"/>
        <v>0</v>
      </c>
      <c r="AK96" s="26">
        <f t="shared" si="104"/>
        <v>0</v>
      </c>
      <c r="AL96" s="26">
        <f t="shared" si="105"/>
        <v>1</v>
      </c>
      <c r="AM96" s="32">
        <f t="shared" si="106"/>
        <v>0</v>
      </c>
      <c r="AN96" s="31">
        <f t="shared" si="122"/>
        <v>1.0120481927710843</v>
      </c>
      <c r="AO96" s="26">
        <f t="shared" si="120"/>
        <v>1</v>
      </c>
      <c r="AP96" s="26">
        <f t="shared" si="123"/>
        <v>1749</v>
      </c>
      <c r="AQ96" s="42">
        <f t="shared" si="121"/>
        <v>9.0355146201182526E-2</v>
      </c>
      <c r="AR96" s="28">
        <f t="shared" si="86"/>
        <v>0.15523066403893335</v>
      </c>
      <c r="AS96" s="26">
        <f t="shared" si="107"/>
        <v>0</v>
      </c>
      <c r="AT96" s="26">
        <f t="shared" si="108"/>
        <v>0</v>
      </c>
      <c r="AU96" s="26">
        <f t="shared" si="109"/>
        <v>0</v>
      </c>
      <c r="AV96" s="32">
        <f t="shared" si="110"/>
        <v>0</v>
      </c>
      <c r="AW96" s="31">
        <f t="shared" si="125"/>
        <v>4.0160642570281121E-3</v>
      </c>
      <c r="AX96" s="26">
        <f t="shared" si="95"/>
        <v>1</v>
      </c>
      <c r="AY96" s="26">
        <f t="shared" si="126"/>
        <v>1999</v>
      </c>
      <c r="AZ96" s="42">
        <f t="shared" si="124"/>
        <v>1.3683753258035996E-3</v>
      </c>
      <c r="BA96" s="28">
        <f t="shared" si="111"/>
        <v>0.12439183318853171</v>
      </c>
      <c r="BB96" s="26">
        <f t="shared" si="87"/>
        <v>1</v>
      </c>
      <c r="BC96" s="26">
        <f t="shared" si="112"/>
        <v>0</v>
      </c>
      <c r="BD96" s="26">
        <f t="shared" si="113"/>
        <v>0</v>
      </c>
      <c r="BE96" s="32">
        <f t="shared" si="114"/>
        <v>0</v>
      </c>
      <c r="BF96" s="29">
        <f t="shared" si="127"/>
        <v>0</v>
      </c>
      <c r="BG96" s="26">
        <f t="shared" si="96"/>
        <v>1</v>
      </c>
      <c r="BH96" s="26">
        <f t="shared" si="128"/>
        <v>2248</v>
      </c>
      <c r="BI96" s="42">
        <f t="shared" si="129"/>
        <v>5.3005604600901042E-2</v>
      </c>
      <c r="BJ96" s="28">
        <f t="shared" si="130"/>
        <v>0.10489395215941977</v>
      </c>
      <c r="BK96" s="26">
        <f t="shared" si="115"/>
        <v>0</v>
      </c>
      <c r="BL96" s="26">
        <f t="shared" si="116"/>
        <v>0</v>
      </c>
      <c r="BM96" s="26">
        <f t="shared" si="117"/>
        <v>1</v>
      </c>
      <c r="BN96" s="32">
        <f t="shared" si="118"/>
        <v>0</v>
      </c>
    </row>
    <row r="97" spans="21:66" x14ac:dyDescent="0.3">
      <c r="U97">
        <v>250</v>
      </c>
      <c r="V97" s="31">
        <f t="shared" si="97"/>
        <v>4.0000000000000001E-3</v>
      </c>
      <c r="W97" s="26">
        <f t="shared" si="88"/>
        <v>1</v>
      </c>
      <c r="X97" s="26">
        <f t="shared" si="89"/>
        <v>499</v>
      </c>
      <c r="Y97" s="42">
        <f t="shared" si="90"/>
        <v>0.37800141706248191</v>
      </c>
      <c r="Z97" s="28">
        <f t="shared" si="91"/>
        <v>0.31162253654184274</v>
      </c>
      <c r="AA97" s="26">
        <f t="shared" si="92"/>
        <v>0</v>
      </c>
      <c r="AB97" s="26">
        <f t="shared" si="98"/>
        <v>0</v>
      </c>
      <c r="AC97" s="26">
        <f t="shared" si="93"/>
        <v>0</v>
      </c>
      <c r="AD97" s="32">
        <f t="shared" si="94"/>
        <v>0</v>
      </c>
      <c r="AE97" s="31">
        <f t="shared" si="99"/>
        <v>1</v>
      </c>
      <c r="AF97" s="26">
        <f t="shared" si="100"/>
        <v>1</v>
      </c>
      <c r="AG97" s="26">
        <f t="shared" si="119"/>
        <v>999</v>
      </c>
      <c r="AH97" s="42">
        <f t="shared" si="101"/>
        <v>0.17041238206297049</v>
      </c>
      <c r="AI97" s="28">
        <f t="shared" si="102"/>
        <v>0.20760450899325064</v>
      </c>
      <c r="AJ97" s="26">
        <f t="shared" si="103"/>
        <v>0</v>
      </c>
      <c r="AK97" s="26">
        <f t="shared" si="104"/>
        <v>0</v>
      </c>
      <c r="AL97" s="26">
        <f t="shared" si="105"/>
        <v>1</v>
      </c>
      <c r="AM97" s="32">
        <f t="shared" si="106"/>
        <v>0</v>
      </c>
      <c r="AN97" s="31">
        <f t="shared" si="122"/>
        <v>0.996</v>
      </c>
      <c r="AO97" s="26">
        <f t="shared" si="120"/>
        <v>1</v>
      </c>
      <c r="AP97" s="26">
        <f t="shared" si="123"/>
        <v>1498</v>
      </c>
      <c r="AQ97" s="42">
        <f t="shared" si="121"/>
        <v>6.6122350480633835E-2</v>
      </c>
      <c r="AR97" s="28">
        <f t="shared" si="86"/>
        <v>0.15585408036037485</v>
      </c>
      <c r="AS97" s="26">
        <f t="shared" si="107"/>
        <v>0</v>
      </c>
      <c r="AT97" s="26">
        <f t="shared" si="108"/>
        <v>0</v>
      </c>
      <c r="AU97" s="26">
        <f t="shared" si="109"/>
        <v>0</v>
      </c>
      <c r="AV97" s="32">
        <f t="shared" si="110"/>
        <v>0</v>
      </c>
      <c r="AW97" s="31">
        <f t="shared" si="125"/>
        <v>1.004</v>
      </c>
      <c r="AX97" s="26">
        <f t="shared" si="95"/>
        <v>0</v>
      </c>
      <c r="AY97" s="26">
        <f t="shared" si="126"/>
        <v>1999</v>
      </c>
      <c r="AZ97" s="42">
        <f t="shared" si="124"/>
        <v>1.3683753258035996E-3</v>
      </c>
      <c r="BA97" s="28">
        <f t="shared" si="111"/>
        <v>0.12489139878366638</v>
      </c>
      <c r="BB97" s="26">
        <f t="shared" si="87"/>
        <v>1</v>
      </c>
      <c r="BC97" s="26">
        <f t="shared" si="112"/>
        <v>0</v>
      </c>
      <c r="BD97" s="26">
        <f t="shared" si="113"/>
        <v>0</v>
      </c>
      <c r="BE97" s="32">
        <f t="shared" si="114"/>
        <v>0</v>
      </c>
      <c r="BF97" s="29">
        <f t="shared" si="127"/>
        <v>0</v>
      </c>
      <c r="BG97" s="26">
        <f t="shared" si="96"/>
        <v>1</v>
      </c>
      <c r="BH97" s="26">
        <f t="shared" si="128"/>
        <v>2249</v>
      </c>
      <c r="BI97" s="42">
        <f t="shared" si="129"/>
        <v>5.2584343748855185E-2</v>
      </c>
      <c r="BJ97" s="28">
        <f t="shared" si="130"/>
        <v>0.10531521301146562</v>
      </c>
      <c r="BK97" s="26">
        <f t="shared" si="115"/>
        <v>0</v>
      </c>
      <c r="BL97" s="26">
        <f t="shared" si="116"/>
        <v>0</v>
      </c>
      <c r="BM97" s="26">
        <f t="shared" si="117"/>
        <v>1</v>
      </c>
      <c r="BN97" s="32">
        <f t="shared" si="118"/>
        <v>0</v>
      </c>
    </row>
    <row r="98" spans="21:66" x14ac:dyDescent="0.3">
      <c r="U98">
        <v>501</v>
      </c>
      <c r="V98" s="31">
        <f t="shared" si="97"/>
        <v>0.50099800399201599</v>
      </c>
      <c r="W98" s="26">
        <f t="shared" si="88"/>
        <v>1</v>
      </c>
      <c r="X98" s="26">
        <f t="shared" si="89"/>
        <v>751</v>
      </c>
      <c r="Y98" s="42">
        <f t="shared" si="90"/>
        <v>6.3885900228304468E-2</v>
      </c>
      <c r="Z98" s="28">
        <f t="shared" si="91"/>
        <v>0.62449156322985278</v>
      </c>
      <c r="AA98" s="26">
        <f t="shared" si="92"/>
        <v>0</v>
      </c>
      <c r="AB98" s="26">
        <f t="shared" si="98"/>
        <v>0</v>
      </c>
      <c r="AC98" s="26">
        <f t="shared" si="93"/>
        <v>0</v>
      </c>
      <c r="AD98" s="32">
        <f t="shared" si="94"/>
        <v>0</v>
      </c>
      <c r="AE98" s="31">
        <f t="shared" si="99"/>
        <v>0.50299401197604787</v>
      </c>
      <c r="AF98" s="26">
        <f t="shared" si="100"/>
        <v>1</v>
      </c>
      <c r="AG98" s="26">
        <f t="shared" si="119"/>
        <v>1000</v>
      </c>
      <c r="AH98" s="42">
        <f t="shared" si="101"/>
        <v>0.16958196402699749</v>
      </c>
      <c r="AI98" s="28">
        <f t="shared" si="102"/>
        <v>0.41603943602247428</v>
      </c>
      <c r="AJ98" s="26">
        <f t="shared" si="103"/>
        <v>0</v>
      </c>
      <c r="AK98" s="26">
        <f t="shared" si="104"/>
        <v>0</v>
      </c>
      <c r="AL98" s="26">
        <f t="shared" si="105"/>
        <v>0</v>
      </c>
      <c r="AM98" s="32">
        <f t="shared" si="106"/>
        <v>0</v>
      </c>
      <c r="AN98" s="31">
        <f t="shared" si="122"/>
        <v>1.996007984031936E-3</v>
      </c>
      <c r="AO98" s="26">
        <f t="shared" si="120"/>
        <v>1</v>
      </c>
      <c r="AP98" s="26">
        <f t="shared" si="123"/>
        <v>1500</v>
      </c>
      <c r="AQ98" s="42">
        <f t="shared" si="121"/>
        <v>6.4875517837750835E-2</v>
      </c>
      <c r="AR98" s="28">
        <f t="shared" si="86"/>
        <v>0.31233157704219122</v>
      </c>
      <c r="AS98" s="26">
        <f t="shared" si="107"/>
        <v>0</v>
      </c>
      <c r="AT98" s="26">
        <f t="shared" si="108"/>
        <v>0</v>
      </c>
      <c r="AU98" s="26">
        <f t="shared" si="109"/>
        <v>0</v>
      </c>
      <c r="AV98" s="32">
        <f t="shared" si="110"/>
        <v>0</v>
      </c>
      <c r="AW98" s="31">
        <f t="shared" si="125"/>
        <v>3.9920159680638719E-3</v>
      </c>
      <c r="AX98" s="26">
        <f t="shared" si="95"/>
        <v>1</v>
      </c>
      <c r="AY98" s="26">
        <f t="shared" si="126"/>
        <v>1999</v>
      </c>
      <c r="AZ98" s="42">
        <f t="shared" si="124"/>
        <v>1.3683753258035996E-3</v>
      </c>
      <c r="BA98" s="28">
        <f t="shared" si="111"/>
        <v>0.25028236316246744</v>
      </c>
      <c r="BB98" s="26">
        <f t="shared" si="87"/>
        <v>1</v>
      </c>
      <c r="BC98" s="26">
        <f t="shared" si="112"/>
        <v>0</v>
      </c>
      <c r="BD98" s="26">
        <f t="shared" si="113"/>
        <v>0</v>
      </c>
      <c r="BE98" s="32">
        <f t="shared" si="114"/>
        <v>0</v>
      </c>
      <c r="BF98" s="29">
        <f t="shared" si="127"/>
        <v>0</v>
      </c>
      <c r="BG98" s="26">
        <f t="shared" si="96"/>
        <v>1</v>
      </c>
      <c r="BH98" s="26">
        <f t="shared" si="128"/>
        <v>2500</v>
      </c>
      <c r="BI98" s="42">
        <f t="shared" si="129"/>
        <v>5.3152130114656311E-2</v>
      </c>
      <c r="BJ98" s="28">
        <f t="shared" si="130"/>
        <v>0.21105168687497713</v>
      </c>
      <c r="BK98" s="26">
        <f t="shared" si="115"/>
        <v>0</v>
      </c>
      <c r="BL98" s="26">
        <f t="shared" si="116"/>
        <v>0</v>
      </c>
      <c r="BM98" s="26">
        <f t="shared" si="117"/>
        <v>0</v>
      </c>
      <c r="BN98" s="32">
        <f t="shared" si="118"/>
        <v>0</v>
      </c>
    </row>
    <row r="99" spans="21:66" x14ac:dyDescent="0.3">
      <c r="U99" s="1">
        <v>499</v>
      </c>
      <c r="V99" s="31">
        <f t="shared" si="97"/>
        <v>4.0080160320641279E-3</v>
      </c>
      <c r="W99" s="26">
        <f t="shared" si="88"/>
        <v>1</v>
      </c>
      <c r="X99" s="26">
        <f t="shared" si="89"/>
        <v>1000</v>
      </c>
      <c r="Y99" s="42">
        <f t="shared" si="90"/>
        <v>0.24649014616737089</v>
      </c>
      <c r="Z99" s="28">
        <f t="shared" si="91"/>
        <v>0.62199858293751809</v>
      </c>
      <c r="AA99" s="26">
        <f t="shared" si="92"/>
        <v>0</v>
      </c>
      <c r="AB99" s="26">
        <f t="shared" si="98"/>
        <v>0</v>
      </c>
      <c r="AC99" s="26">
        <f t="shared" si="93"/>
        <v>0</v>
      </c>
      <c r="AD99" s="32">
        <f t="shared" si="94"/>
        <v>0</v>
      </c>
      <c r="AE99" s="31">
        <f t="shared" si="99"/>
        <v>0.49899799599198397</v>
      </c>
      <c r="AF99" s="26">
        <f t="shared" si="100"/>
        <v>1</v>
      </c>
      <c r="AG99" s="26">
        <f t="shared" si="119"/>
        <v>1250</v>
      </c>
      <c r="AH99" s="42">
        <f t="shared" si="101"/>
        <v>3.8022544966253152E-2</v>
      </c>
      <c r="AI99" s="28">
        <f t="shared" si="102"/>
        <v>0.41437859995052828</v>
      </c>
      <c r="AJ99" s="26">
        <f t="shared" si="103"/>
        <v>0</v>
      </c>
      <c r="AK99" s="26">
        <f t="shared" si="104"/>
        <v>0</v>
      </c>
      <c r="AL99" s="26">
        <f t="shared" si="105"/>
        <v>0</v>
      </c>
      <c r="AM99" s="32">
        <f t="shared" si="106"/>
        <v>0</v>
      </c>
      <c r="AN99" s="31">
        <f t="shared" si="122"/>
        <v>0.50100200400801598</v>
      </c>
      <c r="AO99" s="26">
        <f t="shared" si="120"/>
        <v>1</v>
      </c>
      <c r="AP99" s="26">
        <f t="shared" si="123"/>
        <v>1499</v>
      </c>
      <c r="AQ99" s="42">
        <f t="shared" si="121"/>
        <v>6.5498934159192335E-2</v>
      </c>
      <c r="AR99" s="28">
        <f t="shared" si="86"/>
        <v>0.31108474439930822</v>
      </c>
      <c r="AS99" s="26">
        <f t="shared" si="107"/>
        <v>0</v>
      </c>
      <c r="AT99" s="26">
        <f t="shared" si="108"/>
        <v>0</v>
      </c>
      <c r="AU99" s="26">
        <f t="shared" si="109"/>
        <v>0</v>
      </c>
      <c r="AV99" s="32">
        <f t="shared" si="110"/>
        <v>0</v>
      </c>
      <c r="AW99" s="31">
        <f t="shared" si="125"/>
        <v>2.004008016032064E-3</v>
      </c>
      <c r="AX99" s="26">
        <f t="shared" si="95"/>
        <v>1</v>
      </c>
      <c r="AY99" s="26">
        <f t="shared" si="126"/>
        <v>1999</v>
      </c>
      <c r="AZ99" s="42">
        <f t="shared" si="124"/>
        <v>1.3683753258035996E-3</v>
      </c>
      <c r="BA99" s="28">
        <f t="shared" si="111"/>
        <v>0.24928323197219809</v>
      </c>
      <c r="BB99" s="26">
        <f t="shared" si="87"/>
        <v>1</v>
      </c>
      <c r="BC99" s="26">
        <f t="shared" si="112"/>
        <v>0</v>
      </c>
      <c r="BD99" s="26">
        <f t="shared" si="113"/>
        <v>0</v>
      </c>
      <c r="BE99" s="32">
        <f t="shared" si="114"/>
        <v>0</v>
      </c>
      <c r="BF99" s="29">
        <f t="shared" si="127"/>
        <v>0</v>
      </c>
      <c r="BG99" s="26">
        <f t="shared" si="96"/>
        <v>1</v>
      </c>
      <c r="BH99" s="26">
        <f t="shared" si="128"/>
        <v>2498</v>
      </c>
      <c r="BI99" s="42">
        <f t="shared" si="129"/>
        <v>5.2309608410564583E-2</v>
      </c>
      <c r="BJ99" s="28">
        <f t="shared" si="130"/>
        <v>0.21020916517088539</v>
      </c>
      <c r="BK99" s="26">
        <f t="shared" si="115"/>
        <v>0</v>
      </c>
      <c r="BL99" s="26">
        <f t="shared" si="116"/>
        <v>0</v>
      </c>
      <c r="BM99" s="26">
        <f t="shared" si="117"/>
        <v>0</v>
      </c>
      <c r="BN99" s="32">
        <f t="shared" si="118"/>
        <v>0</v>
      </c>
    </row>
    <row r="100" spans="21:66" x14ac:dyDescent="0.3">
      <c r="U100">
        <v>500</v>
      </c>
      <c r="V100" s="31">
        <f t="shared" si="97"/>
        <v>2E-3</v>
      </c>
      <c r="W100" s="26">
        <f t="shared" si="88"/>
        <v>1</v>
      </c>
      <c r="X100" s="26">
        <f t="shared" si="89"/>
        <v>999</v>
      </c>
      <c r="Y100" s="42">
        <f t="shared" si="90"/>
        <v>0.24524365602120352</v>
      </c>
      <c r="Z100" s="28">
        <f t="shared" si="91"/>
        <v>0.62324507308368549</v>
      </c>
      <c r="AA100" s="26">
        <f t="shared" si="92"/>
        <v>0</v>
      </c>
      <c r="AB100" s="26">
        <f t="shared" si="98"/>
        <v>0</v>
      </c>
      <c r="AC100" s="26">
        <f t="shared" si="93"/>
        <v>0</v>
      </c>
      <c r="AD100" s="32">
        <f t="shared" si="94"/>
        <v>0</v>
      </c>
      <c r="AE100" s="31">
        <f t="shared" si="99"/>
        <v>2E-3</v>
      </c>
      <c r="AF100" s="26">
        <f t="shared" si="100"/>
        <v>1</v>
      </c>
      <c r="AG100" s="26">
        <f t="shared" si="119"/>
        <v>1500</v>
      </c>
      <c r="AH100" s="42">
        <f t="shared" si="101"/>
        <v>0.24562705395950379</v>
      </c>
      <c r="AI100" s="28">
        <f t="shared" si="102"/>
        <v>0.41520901798650128</v>
      </c>
      <c r="AJ100" s="26">
        <f t="shared" si="103"/>
        <v>0</v>
      </c>
      <c r="AK100" s="26">
        <f t="shared" si="104"/>
        <v>0</v>
      </c>
      <c r="AL100" s="26">
        <f t="shared" si="105"/>
        <v>0</v>
      </c>
      <c r="AM100" s="32">
        <f t="shared" si="106"/>
        <v>0</v>
      </c>
      <c r="AN100" s="31">
        <f t="shared" si="122"/>
        <v>0.5</v>
      </c>
      <c r="AO100" s="26">
        <f t="shared" si="120"/>
        <v>1</v>
      </c>
      <c r="AP100" s="26">
        <f t="shared" si="123"/>
        <v>1750</v>
      </c>
      <c r="AQ100" s="42">
        <f t="shared" si="121"/>
        <v>9.0978562522624012E-2</v>
      </c>
      <c r="AR100" s="28">
        <f t="shared" si="86"/>
        <v>0.31170816072074969</v>
      </c>
      <c r="AS100" s="26">
        <f t="shared" si="107"/>
        <v>0</v>
      </c>
      <c r="AT100" s="26">
        <f t="shared" si="108"/>
        <v>0</v>
      </c>
      <c r="AU100" s="26">
        <f t="shared" si="109"/>
        <v>0</v>
      </c>
      <c r="AV100" s="32">
        <f t="shared" si="110"/>
        <v>0</v>
      </c>
      <c r="AW100" s="31">
        <f t="shared" si="125"/>
        <v>0.502</v>
      </c>
      <c r="AX100" s="26">
        <f t="shared" si="95"/>
        <v>0</v>
      </c>
      <c r="AY100" s="26">
        <f t="shared" si="126"/>
        <v>1999</v>
      </c>
      <c r="AZ100" s="42">
        <f t="shared" si="124"/>
        <v>1.3683753258035996E-3</v>
      </c>
      <c r="BA100" s="28">
        <f t="shared" si="111"/>
        <v>0.24978279756733276</v>
      </c>
      <c r="BB100" s="26">
        <f t="shared" si="87"/>
        <v>1</v>
      </c>
      <c r="BC100" s="26">
        <f t="shared" si="112"/>
        <v>0</v>
      </c>
      <c r="BD100" s="26">
        <f t="shared" si="113"/>
        <v>0</v>
      </c>
      <c r="BE100" s="32">
        <f t="shared" si="114"/>
        <v>0</v>
      </c>
      <c r="BF100" s="29">
        <f t="shared" si="127"/>
        <v>0</v>
      </c>
      <c r="BG100" s="26">
        <f t="shared" si="96"/>
        <v>1</v>
      </c>
      <c r="BH100" s="26">
        <f t="shared" si="128"/>
        <v>2499</v>
      </c>
      <c r="BI100" s="42">
        <f t="shared" si="129"/>
        <v>5.2730869262610447E-2</v>
      </c>
      <c r="BJ100" s="28">
        <f t="shared" si="130"/>
        <v>0.21063042602293125</v>
      </c>
      <c r="BK100" s="26">
        <f t="shared" si="115"/>
        <v>0</v>
      </c>
      <c r="BL100" s="26">
        <f t="shared" si="116"/>
        <v>0</v>
      </c>
      <c r="BM100" s="26">
        <f t="shared" si="117"/>
        <v>0</v>
      </c>
      <c r="BN100" s="32">
        <f t="shared" si="118"/>
        <v>0</v>
      </c>
    </row>
    <row r="101" spans="21:66" x14ac:dyDescent="0.3">
      <c r="U101">
        <v>249</v>
      </c>
      <c r="V101" s="31">
        <f t="shared" si="97"/>
        <v>1.0080321285140563</v>
      </c>
      <c r="W101" s="26">
        <f t="shared" si="88"/>
        <v>1</v>
      </c>
      <c r="X101" s="26">
        <f t="shared" si="89"/>
        <v>749</v>
      </c>
      <c r="Y101" s="42">
        <f t="shared" si="90"/>
        <v>6.6378880520639214E-2</v>
      </c>
      <c r="Z101" s="28">
        <f t="shared" si="91"/>
        <v>0.31037604639567534</v>
      </c>
      <c r="AA101" s="26">
        <f t="shared" si="92"/>
        <v>0</v>
      </c>
      <c r="AB101" s="26">
        <f t="shared" si="98"/>
        <v>0</v>
      </c>
      <c r="AC101" s="26">
        <f t="shared" si="93"/>
        <v>0</v>
      </c>
      <c r="AD101" s="32">
        <f t="shared" si="94"/>
        <v>0</v>
      </c>
      <c r="AE101" s="31">
        <f t="shared" si="99"/>
        <v>1.0040160642570282</v>
      </c>
      <c r="AF101" s="26">
        <f t="shared" si="100"/>
        <v>1</v>
      </c>
      <c r="AG101" s="26">
        <f t="shared" si="119"/>
        <v>1248</v>
      </c>
      <c r="AH101" s="42">
        <f t="shared" si="101"/>
        <v>3.6361708894307149E-2</v>
      </c>
      <c r="AI101" s="28">
        <f t="shared" si="102"/>
        <v>0.20677409095727764</v>
      </c>
      <c r="AJ101" s="26">
        <f t="shared" si="103"/>
        <v>0</v>
      </c>
      <c r="AK101" s="26">
        <f t="shared" si="104"/>
        <v>0</v>
      </c>
      <c r="AL101" s="26">
        <f t="shared" si="105"/>
        <v>1</v>
      </c>
      <c r="AM101" s="32">
        <f t="shared" si="106"/>
        <v>0</v>
      </c>
      <c r="AN101" s="31">
        <f t="shared" si="122"/>
        <v>1.0120481927710843</v>
      </c>
      <c r="AO101" s="26">
        <f t="shared" si="120"/>
        <v>1</v>
      </c>
      <c r="AP101" s="26">
        <f t="shared" si="123"/>
        <v>1749</v>
      </c>
      <c r="AQ101" s="42">
        <f t="shared" si="121"/>
        <v>9.0355146201182526E-2</v>
      </c>
      <c r="AR101" s="28">
        <f t="shared" si="86"/>
        <v>0.15523066403893335</v>
      </c>
      <c r="AS101" s="26">
        <f t="shared" si="107"/>
        <v>0</v>
      </c>
      <c r="AT101" s="26">
        <f t="shared" si="108"/>
        <v>0</v>
      </c>
      <c r="AU101" s="26">
        <f t="shared" si="109"/>
        <v>0</v>
      </c>
      <c r="AV101" s="32">
        <f t="shared" si="110"/>
        <v>0</v>
      </c>
      <c r="AW101" s="31">
        <f t="shared" si="125"/>
        <v>4.0160642570281121E-3</v>
      </c>
      <c r="AX101" s="26">
        <f t="shared" si="95"/>
        <v>1</v>
      </c>
      <c r="AY101" s="26">
        <f t="shared" si="126"/>
        <v>1999</v>
      </c>
      <c r="AZ101" s="42">
        <f t="shared" si="124"/>
        <v>1.3683753258035996E-3</v>
      </c>
      <c r="BA101" s="28">
        <f t="shared" si="111"/>
        <v>0.12439183318853171</v>
      </c>
      <c r="BB101" s="26">
        <f t="shared" si="87"/>
        <v>1</v>
      </c>
      <c r="BC101" s="26">
        <f t="shared" si="112"/>
        <v>0</v>
      </c>
      <c r="BD101" s="26">
        <f t="shared" si="113"/>
        <v>0</v>
      </c>
      <c r="BE101" s="32">
        <f t="shared" si="114"/>
        <v>0</v>
      </c>
      <c r="BF101" s="29">
        <f t="shared" si="127"/>
        <v>0</v>
      </c>
      <c r="BG101" s="26">
        <f t="shared" si="96"/>
        <v>1</v>
      </c>
      <c r="BH101" s="26">
        <f t="shared" si="128"/>
        <v>2248</v>
      </c>
      <c r="BI101" s="42">
        <f t="shared" si="129"/>
        <v>5.3005604600901042E-2</v>
      </c>
      <c r="BJ101" s="28">
        <f t="shared" si="130"/>
        <v>0.10489395215941977</v>
      </c>
      <c r="BK101" s="26">
        <f t="shared" si="115"/>
        <v>0</v>
      </c>
      <c r="BL101" s="26">
        <f t="shared" si="116"/>
        <v>0</v>
      </c>
      <c r="BM101" s="26">
        <f t="shared" si="117"/>
        <v>1</v>
      </c>
      <c r="BN101" s="32">
        <f t="shared" si="118"/>
        <v>0</v>
      </c>
    </row>
    <row r="102" spans="21:66" x14ac:dyDescent="0.3">
      <c r="U102">
        <v>250</v>
      </c>
      <c r="V102" s="31">
        <f t="shared" si="97"/>
        <v>4.0000000000000001E-3</v>
      </c>
      <c r="W102" s="26">
        <f t="shared" si="88"/>
        <v>1</v>
      </c>
      <c r="X102" s="26">
        <f t="shared" si="89"/>
        <v>499</v>
      </c>
      <c r="Y102" s="42">
        <f t="shared" si="90"/>
        <v>0.37800141706248191</v>
      </c>
      <c r="Z102" s="28">
        <f t="shared" si="91"/>
        <v>0.31162253654184274</v>
      </c>
      <c r="AA102" s="26">
        <f t="shared" si="92"/>
        <v>0</v>
      </c>
      <c r="AB102" s="26">
        <f t="shared" si="98"/>
        <v>0</v>
      </c>
      <c r="AC102" s="26">
        <f t="shared" si="93"/>
        <v>0</v>
      </c>
      <c r="AD102" s="32">
        <f t="shared" si="94"/>
        <v>0</v>
      </c>
      <c r="AE102" s="31">
        <f t="shared" si="99"/>
        <v>1</v>
      </c>
      <c r="AF102" s="26">
        <f t="shared" si="100"/>
        <v>1</v>
      </c>
      <c r="AG102" s="26">
        <f t="shared" si="119"/>
        <v>999</v>
      </c>
      <c r="AH102" s="42">
        <f t="shared" si="101"/>
        <v>0.17041238206297049</v>
      </c>
      <c r="AI102" s="28">
        <f t="shared" si="102"/>
        <v>0.20760450899325064</v>
      </c>
      <c r="AJ102" s="26">
        <f t="shared" si="103"/>
        <v>0</v>
      </c>
      <c r="AK102" s="26">
        <f t="shared" si="104"/>
        <v>0</v>
      </c>
      <c r="AL102" s="26">
        <f t="shared" si="105"/>
        <v>1</v>
      </c>
      <c r="AM102" s="32">
        <f t="shared" si="106"/>
        <v>0</v>
      </c>
      <c r="AN102" s="31">
        <f t="shared" si="122"/>
        <v>0.996</v>
      </c>
      <c r="AO102" s="26">
        <f t="shared" si="120"/>
        <v>1</v>
      </c>
      <c r="AP102" s="26">
        <f t="shared" si="123"/>
        <v>1498</v>
      </c>
      <c r="AQ102" s="42">
        <f t="shared" si="121"/>
        <v>6.6122350480633835E-2</v>
      </c>
      <c r="AR102" s="28">
        <f t="shared" si="86"/>
        <v>0.15585408036037485</v>
      </c>
      <c r="AS102" s="26">
        <f t="shared" si="107"/>
        <v>0</v>
      </c>
      <c r="AT102" s="26">
        <f t="shared" si="108"/>
        <v>0</v>
      </c>
      <c r="AU102" s="26">
        <f t="shared" si="109"/>
        <v>0</v>
      </c>
      <c r="AV102" s="32">
        <f t="shared" si="110"/>
        <v>0</v>
      </c>
      <c r="AW102" s="31">
        <f t="shared" si="125"/>
        <v>1.004</v>
      </c>
      <c r="AX102" s="26">
        <f t="shared" si="95"/>
        <v>0</v>
      </c>
      <c r="AY102" s="26">
        <f t="shared" si="126"/>
        <v>1999</v>
      </c>
      <c r="AZ102" s="42">
        <f t="shared" si="124"/>
        <v>1.3683753258035996E-3</v>
      </c>
      <c r="BA102" s="28">
        <f t="shared" si="111"/>
        <v>0.12489139878366638</v>
      </c>
      <c r="BB102" s="26">
        <f t="shared" si="87"/>
        <v>1</v>
      </c>
      <c r="BC102" s="26">
        <f t="shared" si="112"/>
        <v>0</v>
      </c>
      <c r="BD102" s="26">
        <f t="shared" si="113"/>
        <v>0</v>
      </c>
      <c r="BE102" s="32">
        <f t="shared" si="114"/>
        <v>0</v>
      </c>
      <c r="BF102" s="29">
        <f t="shared" si="127"/>
        <v>0</v>
      </c>
      <c r="BG102" s="26">
        <f t="shared" si="96"/>
        <v>1</v>
      </c>
      <c r="BH102" s="26">
        <f t="shared" si="128"/>
        <v>2249</v>
      </c>
      <c r="BI102" s="42">
        <f t="shared" si="129"/>
        <v>5.2584343748855185E-2</v>
      </c>
      <c r="BJ102" s="28">
        <f t="shared" si="130"/>
        <v>0.10531521301146562</v>
      </c>
      <c r="BK102" s="26">
        <f t="shared" si="115"/>
        <v>0</v>
      </c>
      <c r="BL102" s="26">
        <f t="shared" si="116"/>
        <v>0</v>
      </c>
      <c r="BM102" s="26">
        <f t="shared" si="117"/>
        <v>1</v>
      </c>
      <c r="BN102" s="32">
        <f t="shared" si="118"/>
        <v>0</v>
      </c>
    </row>
    <row r="103" spans="21:66" x14ac:dyDescent="0.3">
      <c r="U103">
        <v>501</v>
      </c>
      <c r="V103" s="31">
        <f t="shared" si="97"/>
        <v>0.50099800399201599</v>
      </c>
      <c r="W103" s="26">
        <f t="shared" si="88"/>
        <v>1</v>
      </c>
      <c r="X103" s="26">
        <f t="shared" si="89"/>
        <v>751</v>
      </c>
      <c r="Y103" s="42">
        <f t="shared" si="90"/>
        <v>6.3885900228304468E-2</v>
      </c>
      <c r="Z103" s="28">
        <f t="shared" si="91"/>
        <v>0.62449156322985278</v>
      </c>
      <c r="AA103" s="26">
        <f t="shared" si="92"/>
        <v>0</v>
      </c>
      <c r="AB103" s="26">
        <f t="shared" si="98"/>
        <v>0</v>
      </c>
      <c r="AC103" s="26">
        <f t="shared" si="93"/>
        <v>0</v>
      </c>
      <c r="AD103" s="32">
        <f t="shared" si="94"/>
        <v>0</v>
      </c>
      <c r="AE103" s="31">
        <f t="shared" si="99"/>
        <v>0.50299401197604787</v>
      </c>
      <c r="AF103" s="26">
        <f t="shared" si="100"/>
        <v>1</v>
      </c>
      <c r="AG103" s="26">
        <f t="shared" si="119"/>
        <v>1000</v>
      </c>
      <c r="AH103" s="42">
        <f t="shared" si="101"/>
        <v>0.16958196402699749</v>
      </c>
      <c r="AI103" s="28">
        <f t="shared" si="102"/>
        <v>0.41603943602247428</v>
      </c>
      <c r="AJ103" s="26">
        <f t="shared" si="103"/>
        <v>0</v>
      </c>
      <c r="AK103" s="26">
        <f t="shared" si="104"/>
        <v>0</v>
      </c>
      <c r="AL103" s="26">
        <f t="shared" si="105"/>
        <v>0</v>
      </c>
      <c r="AM103" s="32">
        <f t="shared" si="106"/>
        <v>0</v>
      </c>
      <c r="AN103" s="31">
        <f t="shared" si="122"/>
        <v>1.996007984031936E-3</v>
      </c>
      <c r="AO103" s="26">
        <f t="shared" si="120"/>
        <v>1</v>
      </c>
      <c r="AP103" s="26">
        <f t="shared" si="123"/>
        <v>1500</v>
      </c>
      <c r="AQ103" s="42">
        <f t="shared" si="121"/>
        <v>6.4875517837750835E-2</v>
      </c>
      <c r="AR103" s="28">
        <f t="shared" si="86"/>
        <v>0.31233157704219122</v>
      </c>
      <c r="AS103" s="26">
        <f t="shared" si="107"/>
        <v>0</v>
      </c>
      <c r="AT103" s="26">
        <f t="shared" si="108"/>
        <v>0</v>
      </c>
      <c r="AU103" s="26">
        <f t="shared" si="109"/>
        <v>0</v>
      </c>
      <c r="AV103" s="32">
        <f t="shared" si="110"/>
        <v>0</v>
      </c>
      <c r="AW103" s="31">
        <f t="shared" si="125"/>
        <v>3.9920159680638719E-3</v>
      </c>
      <c r="AX103" s="26">
        <f t="shared" si="95"/>
        <v>1</v>
      </c>
      <c r="AY103" s="26">
        <f t="shared" si="126"/>
        <v>1999</v>
      </c>
      <c r="AZ103" s="42">
        <f t="shared" si="124"/>
        <v>1.3683753258035996E-3</v>
      </c>
      <c r="BA103" s="28">
        <f t="shared" si="111"/>
        <v>0.25028236316246744</v>
      </c>
      <c r="BB103" s="26">
        <f t="shared" si="87"/>
        <v>1</v>
      </c>
      <c r="BC103" s="26">
        <f t="shared" si="112"/>
        <v>0</v>
      </c>
      <c r="BD103" s="26">
        <f t="shared" si="113"/>
        <v>0</v>
      </c>
      <c r="BE103" s="32">
        <f t="shared" si="114"/>
        <v>0</v>
      </c>
      <c r="BF103" s="29">
        <f t="shared" si="127"/>
        <v>0</v>
      </c>
      <c r="BG103" s="26">
        <f t="shared" si="96"/>
        <v>1</v>
      </c>
      <c r="BH103" s="26">
        <f t="shared" si="128"/>
        <v>2500</v>
      </c>
      <c r="BI103" s="42">
        <f t="shared" si="129"/>
        <v>5.3152130114656311E-2</v>
      </c>
      <c r="BJ103" s="28">
        <f t="shared" si="130"/>
        <v>0.21105168687497713</v>
      </c>
      <c r="BK103" s="26">
        <f t="shared" si="115"/>
        <v>0</v>
      </c>
      <c r="BL103" s="26">
        <f t="shared" si="116"/>
        <v>0</v>
      </c>
      <c r="BM103" s="26">
        <f t="shared" si="117"/>
        <v>0</v>
      </c>
      <c r="BN103" s="32">
        <f t="shared" si="118"/>
        <v>0</v>
      </c>
    </row>
    <row r="104" spans="21:66" x14ac:dyDescent="0.3">
      <c r="U104" s="1">
        <v>499</v>
      </c>
      <c r="V104" s="31">
        <f t="shared" si="97"/>
        <v>4.0080160320641279E-3</v>
      </c>
      <c r="W104" s="26">
        <f t="shared" si="88"/>
        <v>1</v>
      </c>
      <c r="X104" s="26">
        <f t="shared" si="89"/>
        <v>1000</v>
      </c>
      <c r="Y104" s="42">
        <f t="shared" si="90"/>
        <v>0.24649014616737089</v>
      </c>
      <c r="Z104" s="28">
        <f t="shared" si="91"/>
        <v>0.62199858293751809</v>
      </c>
      <c r="AA104" s="26">
        <f t="shared" si="92"/>
        <v>0</v>
      </c>
      <c r="AB104" s="26">
        <f t="shared" si="98"/>
        <v>0</v>
      </c>
      <c r="AC104" s="26">
        <f t="shared" si="93"/>
        <v>0</v>
      </c>
      <c r="AD104" s="32">
        <f t="shared" si="94"/>
        <v>0</v>
      </c>
      <c r="AE104" s="31">
        <f t="shared" si="99"/>
        <v>0.49899799599198397</v>
      </c>
      <c r="AF104" s="26">
        <f t="shared" si="100"/>
        <v>1</v>
      </c>
      <c r="AG104" s="26">
        <f t="shared" si="119"/>
        <v>1250</v>
      </c>
      <c r="AH104" s="42">
        <f t="shared" si="101"/>
        <v>3.8022544966253152E-2</v>
      </c>
      <c r="AI104" s="28">
        <f t="shared" si="102"/>
        <v>0.41437859995052828</v>
      </c>
      <c r="AJ104" s="26">
        <f t="shared" si="103"/>
        <v>0</v>
      </c>
      <c r="AK104" s="26">
        <f t="shared" si="104"/>
        <v>0</v>
      </c>
      <c r="AL104" s="26">
        <f t="shared" si="105"/>
        <v>0</v>
      </c>
      <c r="AM104" s="32">
        <f t="shared" si="106"/>
        <v>0</v>
      </c>
      <c r="AN104" s="31">
        <f t="shared" si="122"/>
        <v>0.50100200400801598</v>
      </c>
      <c r="AO104" s="26">
        <f t="shared" si="120"/>
        <v>1</v>
      </c>
      <c r="AP104" s="26">
        <f t="shared" si="123"/>
        <v>1499</v>
      </c>
      <c r="AQ104" s="42">
        <f t="shared" si="121"/>
        <v>6.5498934159192335E-2</v>
      </c>
      <c r="AR104" s="28">
        <f t="shared" si="86"/>
        <v>0.31108474439930822</v>
      </c>
      <c r="AS104" s="26">
        <f t="shared" si="107"/>
        <v>0</v>
      </c>
      <c r="AT104" s="26">
        <f t="shared" si="108"/>
        <v>0</v>
      </c>
      <c r="AU104" s="26">
        <f t="shared" si="109"/>
        <v>0</v>
      </c>
      <c r="AV104" s="32">
        <f t="shared" si="110"/>
        <v>0</v>
      </c>
      <c r="AW104" s="31">
        <f t="shared" si="125"/>
        <v>2.004008016032064E-3</v>
      </c>
      <c r="AX104" s="26">
        <f t="shared" si="95"/>
        <v>1</v>
      </c>
      <c r="AY104" s="26">
        <f t="shared" si="126"/>
        <v>1999</v>
      </c>
      <c r="AZ104" s="42">
        <f t="shared" si="124"/>
        <v>1.3683753258035996E-3</v>
      </c>
      <c r="BA104" s="28">
        <f t="shared" si="111"/>
        <v>0.24928323197219809</v>
      </c>
      <c r="BB104" s="26">
        <f t="shared" si="87"/>
        <v>1</v>
      </c>
      <c r="BC104" s="26">
        <f t="shared" si="112"/>
        <v>0</v>
      </c>
      <c r="BD104" s="26">
        <f t="shared" si="113"/>
        <v>0</v>
      </c>
      <c r="BE104" s="32">
        <f t="shared" si="114"/>
        <v>0</v>
      </c>
      <c r="BF104" s="29">
        <f t="shared" si="127"/>
        <v>0</v>
      </c>
      <c r="BG104" s="26">
        <f t="shared" si="96"/>
        <v>1</v>
      </c>
      <c r="BH104" s="26">
        <f t="shared" si="128"/>
        <v>2498</v>
      </c>
      <c r="BI104" s="42">
        <f t="shared" si="129"/>
        <v>5.2309608410564583E-2</v>
      </c>
      <c r="BJ104" s="28">
        <f t="shared" si="130"/>
        <v>0.21020916517088539</v>
      </c>
      <c r="BK104" s="26">
        <f t="shared" si="115"/>
        <v>0</v>
      </c>
      <c r="BL104" s="26">
        <f t="shared" si="116"/>
        <v>0</v>
      </c>
      <c r="BM104" s="26">
        <f t="shared" si="117"/>
        <v>0</v>
      </c>
      <c r="BN104" s="32">
        <f t="shared" si="118"/>
        <v>0</v>
      </c>
    </row>
    <row r="105" spans="21:66" x14ac:dyDescent="0.3">
      <c r="U105">
        <v>500</v>
      </c>
      <c r="V105" s="31">
        <f t="shared" si="97"/>
        <v>2E-3</v>
      </c>
      <c r="W105" s="26">
        <f t="shared" si="88"/>
        <v>1</v>
      </c>
      <c r="X105" s="26">
        <f t="shared" si="89"/>
        <v>999</v>
      </c>
      <c r="Y105" s="42">
        <f t="shared" si="90"/>
        <v>0.24524365602120352</v>
      </c>
      <c r="Z105" s="28">
        <f t="shared" si="91"/>
        <v>0.62324507308368549</v>
      </c>
      <c r="AA105" s="26">
        <f t="shared" si="92"/>
        <v>0</v>
      </c>
      <c r="AB105" s="26">
        <f t="shared" si="98"/>
        <v>0</v>
      </c>
      <c r="AC105" s="26">
        <f t="shared" si="93"/>
        <v>0</v>
      </c>
      <c r="AD105" s="32">
        <f t="shared" si="94"/>
        <v>0</v>
      </c>
      <c r="AE105" s="31">
        <f t="shared" si="99"/>
        <v>2E-3</v>
      </c>
      <c r="AF105" s="26">
        <f t="shared" si="100"/>
        <v>1</v>
      </c>
      <c r="AG105" s="26">
        <f t="shared" si="119"/>
        <v>1500</v>
      </c>
      <c r="AH105" s="42">
        <f t="shared" si="101"/>
        <v>0.24562705395950379</v>
      </c>
      <c r="AI105" s="28">
        <f t="shared" si="102"/>
        <v>0.41520901798650128</v>
      </c>
      <c r="AJ105" s="26">
        <f t="shared" si="103"/>
        <v>0</v>
      </c>
      <c r="AK105" s="26">
        <f t="shared" si="104"/>
        <v>0</v>
      </c>
      <c r="AL105" s="26">
        <f t="shared" si="105"/>
        <v>0</v>
      </c>
      <c r="AM105" s="32">
        <f t="shared" si="106"/>
        <v>0</v>
      </c>
      <c r="AN105" s="31">
        <f t="shared" si="122"/>
        <v>0.5</v>
      </c>
      <c r="AO105" s="26">
        <f t="shared" si="120"/>
        <v>1</v>
      </c>
      <c r="AP105" s="26">
        <f t="shared" si="123"/>
        <v>1750</v>
      </c>
      <c r="AQ105" s="42">
        <f t="shared" si="121"/>
        <v>9.0978562522624012E-2</v>
      </c>
      <c r="AR105" s="28">
        <f t="shared" si="86"/>
        <v>0.31170816072074969</v>
      </c>
      <c r="AS105" s="26">
        <f t="shared" si="107"/>
        <v>0</v>
      </c>
      <c r="AT105" s="26">
        <f t="shared" si="108"/>
        <v>0</v>
      </c>
      <c r="AU105" s="26">
        <f t="shared" si="109"/>
        <v>0</v>
      </c>
      <c r="AV105" s="32">
        <f t="shared" si="110"/>
        <v>0</v>
      </c>
      <c r="AW105" s="31">
        <f t="shared" si="125"/>
        <v>0.502</v>
      </c>
      <c r="AX105" s="26">
        <f t="shared" si="95"/>
        <v>0</v>
      </c>
      <c r="AY105" s="26">
        <f t="shared" si="126"/>
        <v>1999</v>
      </c>
      <c r="AZ105" s="42">
        <f t="shared" si="124"/>
        <v>1.3683753258035996E-3</v>
      </c>
      <c r="BA105" s="28">
        <f t="shared" si="111"/>
        <v>0.24978279756733276</v>
      </c>
      <c r="BB105" s="26">
        <f t="shared" si="87"/>
        <v>1</v>
      </c>
      <c r="BC105" s="26">
        <f t="shared" si="112"/>
        <v>0</v>
      </c>
      <c r="BD105" s="26">
        <f t="shared" si="113"/>
        <v>0</v>
      </c>
      <c r="BE105" s="32">
        <f t="shared" si="114"/>
        <v>0</v>
      </c>
      <c r="BF105" s="29">
        <f t="shared" si="127"/>
        <v>0</v>
      </c>
      <c r="BG105" s="26">
        <f t="shared" si="96"/>
        <v>1</v>
      </c>
      <c r="BH105" s="26">
        <f t="shared" si="128"/>
        <v>2499</v>
      </c>
      <c r="BI105" s="42">
        <f t="shared" si="129"/>
        <v>5.2730869262610447E-2</v>
      </c>
      <c r="BJ105" s="28">
        <f t="shared" si="130"/>
        <v>0.21063042602293125</v>
      </c>
      <c r="BK105" s="26">
        <f t="shared" si="115"/>
        <v>0</v>
      </c>
      <c r="BL105" s="26">
        <f t="shared" si="116"/>
        <v>0</v>
      </c>
      <c r="BM105" s="26">
        <f t="shared" si="117"/>
        <v>0</v>
      </c>
      <c r="BN105" s="32">
        <f t="shared" si="118"/>
        <v>0</v>
      </c>
    </row>
    <row r="106" spans="21:66" x14ac:dyDescent="0.3">
      <c r="U106" s="1">
        <v>501</v>
      </c>
      <c r="V106" s="31">
        <f t="shared" si="97"/>
        <v>1.996007984031936E-3</v>
      </c>
      <c r="W106" s="26">
        <f t="shared" si="88"/>
        <v>1</v>
      </c>
      <c r="X106" s="26">
        <f t="shared" si="89"/>
        <v>1001</v>
      </c>
      <c r="Y106" s="42">
        <f t="shared" si="90"/>
        <v>0.24773663631353826</v>
      </c>
      <c r="Z106" s="28">
        <f t="shared" si="91"/>
        <v>0.62449156322985278</v>
      </c>
      <c r="AA106" s="26">
        <f t="shared" si="92"/>
        <v>0</v>
      </c>
      <c r="AB106" s="26">
        <f t="shared" si="98"/>
        <v>0</v>
      </c>
      <c r="AC106" s="26">
        <f t="shared" si="93"/>
        <v>0</v>
      </c>
      <c r="AD106" s="32">
        <f t="shared" si="94"/>
        <v>0</v>
      </c>
      <c r="AE106" s="31">
        <f t="shared" si="99"/>
        <v>3.9920159680638719E-3</v>
      </c>
      <c r="AF106" s="26">
        <f t="shared" si="100"/>
        <v>1</v>
      </c>
      <c r="AG106" s="26">
        <f t="shared" si="119"/>
        <v>1500</v>
      </c>
      <c r="AH106" s="42">
        <f t="shared" si="101"/>
        <v>0.24562705395950379</v>
      </c>
      <c r="AI106" s="28">
        <f t="shared" si="102"/>
        <v>0.41603943602247428</v>
      </c>
      <c r="AJ106" s="26">
        <f t="shared" si="103"/>
        <v>0</v>
      </c>
      <c r="AK106" s="26">
        <f t="shared" si="104"/>
        <v>0</v>
      </c>
      <c r="AL106" s="26">
        <f t="shared" si="105"/>
        <v>0</v>
      </c>
      <c r="AM106" s="32">
        <f t="shared" si="106"/>
        <v>0</v>
      </c>
      <c r="AN106" s="31">
        <f t="shared" si="122"/>
        <v>0</v>
      </c>
      <c r="AO106" s="26">
        <f t="shared" si="120"/>
        <v>1</v>
      </c>
      <c r="AP106" s="26">
        <f t="shared" si="123"/>
        <v>2001</v>
      </c>
      <c r="AQ106" s="42">
        <f t="shared" si="121"/>
        <v>0.24745605920444039</v>
      </c>
      <c r="AR106" s="28">
        <f t="shared" si="86"/>
        <v>0.31233157704219122</v>
      </c>
      <c r="AS106" s="26">
        <f t="shared" si="107"/>
        <v>0</v>
      </c>
      <c r="AT106" s="26">
        <f t="shared" si="108"/>
        <v>0</v>
      </c>
      <c r="AU106" s="26">
        <f t="shared" si="109"/>
        <v>0</v>
      </c>
      <c r="AV106" s="32">
        <f t="shared" si="110"/>
        <v>0</v>
      </c>
      <c r="AW106" s="31">
        <f t="shared" si="125"/>
        <v>0.50099800399201599</v>
      </c>
      <c r="AX106" s="26">
        <f t="shared" si="95"/>
        <v>0</v>
      </c>
      <c r="AY106" s="26">
        <f t="shared" si="126"/>
        <v>2251</v>
      </c>
      <c r="AZ106" s="42">
        <f t="shared" si="124"/>
        <v>0.12452215464813211</v>
      </c>
      <c r="BA106" s="28">
        <f t="shared" si="111"/>
        <v>0.25028236316246744</v>
      </c>
      <c r="BB106" s="26">
        <f t="shared" si="87"/>
        <v>1</v>
      </c>
      <c r="BC106" s="26">
        <f t="shared" si="112"/>
        <v>0</v>
      </c>
      <c r="BD106" s="26">
        <f t="shared" si="113"/>
        <v>0</v>
      </c>
      <c r="BE106" s="32">
        <f t="shared" si="114"/>
        <v>0</v>
      </c>
      <c r="BF106" s="29">
        <f t="shared" si="127"/>
        <v>0.50299401197604787</v>
      </c>
      <c r="BG106" s="26">
        <f t="shared" si="96"/>
        <v>0</v>
      </c>
      <c r="BH106" s="26">
        <f t="shared" si="128"/>
        <v>2500</v>
      </c>
      <c r="BI106" s="42">
        <f t="shared" si="129"/>
        <v>5.3152130114656311E-2</v>
      </c>
      <c r="BJ106" s="28">
        <f t="shared" si="130"/>
        <v>0.21105168687497713</v>
      </c>
      <c r="BK106" s="26">
        <f t="shared" si="115"/>
        <v>0</v>
      </c>
      <c r="BL106" s="26">
        <f t="shared" si="116"/>
        <v>0</v>
      </c>
      <c r="BM106" s="26">
        <f t="shared" si="117"/>
        <v>0</v>
      </c>
      <c r="BN106" s="32">
        <f t="shared" si="118"/>
        <v>0</v>
      </c>
    </row>
    <row r="107" spans="21:66" x14ac:dyDescent="0.3">
      <c r="V107" s="33"/>
      <c r="W107" s="27"/>
      <c r="X107" s="27"/>
      <c r="Y107" s="42"/>
      <c r="Z107" s="27"/>
      <c r="AA107" s="27"/>
      <c r="AB107" s="27"/>
      <c r="AC107" s="27"/>
      <c r="AD107" s="34"/>
      <c r="AE107" s="33"/>
      <c r="AF107" s="27"/>
      <c r="AG107" s="27"/>
      <c r="AH107" s="42"/>
      <c r="AI107" s="27"/>
      <c r="AJ107" s="27"/>
      <c r="AK107" s="27"/>
      <c r="AL107" s="27"/>
      <c r="AM107" s="34"/>
      <c r="AN107" s="33"/>
      <c r="AO107" s="27"/>
      <c r="AP107" s="27"/>
      <c r="AQ107" s="42"/>
      <c r="AR107" s="27"/>
      <c r="AS107" s="27"/>
      <c r="AT107" s="27"/>
      <c r="AU107" s="27"/>
      <c r="AV107" s="34"/>
      <c r="AW107" s="33"/>
      <c r="AX107" s="27"/>
      <c r="AY107" s="27"/>
      <c r="AZ107" s="42"/>
      <c r="BA107" s="27"/>
      <c r="BB107" s="27"/>
      <c r="BC107" s="27"/>
      <c r="BD107" s="27"/>
      <c r="BE107" s="34"/>
      <c r="BF107" s="30"/>
      <c r="BG107" s="27"/>
      <c r="BH107" s="27"/>
      <c r="BI107" s="42"/>
      <c r="BJ107" s="27"/>
      <c r="BK107" s="27"/>
      <c r="BL107" s="27"/>
      <c r="BM107" s="27"/>
      <c r="BN107" s="34"/>
    </row>
    <row r="108" spans="21:66" x14ac:dyDescent="0.3">
      <c r="V108" s="33"/>
      <c r="W108" s="27"/>
      <c r="X108" s="27"/>
      <c r="Y108" s="42"/>
      <c r="Z108" s="27"/>
      <c r="AA108" s="27"/>
      <c r="AB108" s="27"/>
      <c r="AC108" s="27"/>
      <c r="AD108" s="34"/>
      <c r="AE108" s="33"/>
      <c r="AF108" s="27"/>
      <c r="AG108" s="27"/>
      <c r="AH108" s="42"/>
      <c r="AI108" s="27"/>
      <c r="AJ108" s="27"/>
      <c r="AK108" s="27"/>
      <c r="AL108" s="27"/>
      <c r="AM108" s="34"/>
      <c r="AN108" s="33"/>
      <c r="AO108" s="27"/>
      <c r="AP108" s="27"/>
      <c r="AQ108" s="42"/>
      <c r="AR108" s="27"/>
      <c r="AS108" s="27"/>
      <c r="AT108" s="27"/>
      <c r="AU108" s="27"/>
      <c r="AV108" s="34"/>
      <c r="AW108" s="33"/>
      <c r="AX108" s="27"/>
      <c r="AY108" s="27"/>
      <c r="AZ108" s="42"/>
      <c r="BA108" s="27"/>
      <c r="BB108" s="27"/>
      <c r="BC108" s="27"/>
      <c r="BD108" s="27"/>
      <c r="BE108" s="34"/>
      <c r="BF108" s="30"/>
      <c r="BG108" s="27"/>
      <c r="BH108" s="27"/>
      <c r="BI108" s="42"/>
      <c r="BJ108" s="27"/>
      <c r="BK108" s="27"/>
      <c r="BL108" s="27"/>
      <c r="BM108" s="27"/>
      <c r="BN108" s="34"/>
    </row>
    <row r="109" spans="21:66" x14ac:dyDescent="0.3">
      <c r="V109" s="33"/>
      <c r="W109" s="27"/>
      <c r="X109" s="27"/>
      <c r="Y109" s="42"/>
      <c r="Z109" s="27"/>
      <c r="AA109" s="27"/>
      <c r="AB109" s="27"/>
      <c r="AC109" s="27"/>
      <c r="AD109" s="34"/>
      <c r="AE109" s="33"/>
      <c r="AF109" s="27"/>
      <c r="AG109" s="27"/>
      <c r="AH109" s="42"/>
      <c r="AI109" s="27"/>
      <c r="AJ109" s="27"/>
      <c r="AK109" s="27"/>
      <c r="AL109" s="27"/>
      <c r="AM109" s="34"/>
      <c r="AN109" s="33"/>
      <c r="AO109" s="27"/>
      <c r="AP109" s="27"/>
      <c r="AQ109" s="42"/>
      <c r="AR109" s="27"/>
      <c r="AS109" s="27"/>
      <c r="AT109" s="27"/>
      <c r="AU109" s="27"/>
      <c r="AV109" s="34"/>
      <c r="AW109" s="33"/>
      <c r="AX109" s="27"/>
      <c r="AY109" s="27"/>
      <c r="AZ109" s="42"/>
      <c r="BA109" s="27"/>
      <c r="BB109" s="27"/>
      <c r="BC109" s="27"/>
      <c r="BD109" s="27"/>
      <c r="BE109" s="34"/>
      <c r="BF109" s="30"/>
      <c r="BG109" s="27"/>
      <c r="BH109" s="27"/>
      <c r="BI109" s="42"/>
      <c r="BJ109" s="27"/>
      <c r="BK109" s="27"/>
      <c r="BL109" s="27"/>
      <c r="BM109" s="27"/>
      <c r="BN109" s="34"/>
    </row>
    <row r="110" spans="21:66" x14ac:dyDescent="0.3">
      <c r="V110" s="33"/>
      <c r="W110" s="27"/>
      <c r="X110" s="27"/>
      <c r="Y110" s="42"/>
      <c r="Z110" s="27"/>
      <c r="AA110" s="27"/>
      <c r="AB110" s="27"/>
      <c r="AC110" s="27"/>
      <c r="AD110" s="34"/>
      <c r="AE110" s="33"/>
      <c r="AF110" s="27"/>
      <c r="AG110" s="27"/>
      <c r="AH110" s="42"/>
      <c r="AI110" s="27"/>
      <c r="AJ110" s="27"/>
      <c r="AK110" s="27"/>
      <c r="AL110" s="27"/>
      <c r="AM110" s="34"/>
      <c r="AN110" s="33"/>
      <c r="AO110" s="27"/>
      <c r="AP110" s="27"/>
      <c r="AQ110" s="42"/>
      <c r="AR110" s="27"/>
      <c r="AS110" s="27"/>
      <c r="AT110" s="27"/>
      <c r="AU110" s="27"/>
      <c r="AV110" s="34"/>
      <c r="AW110" s="33"/>
      <c r="AX110" s="27"/>
      <c r="AY110" s="27"/>
      <c r="AZ110" s="42"/>
      <c r="BA110" s="27"/>
      <c r="BB110" s="27"/>
      <c r="BC110" s="27"/>
      <c r="BD110" s="27"/>
      <c r="BE110" s="34"/>
      <c r="BF110" s="30"/>
      <c r="BG110" s="27"/>
      <c r="BH110" s="27"/>
      <c r="BI110" s="42"/>
      <c r="BJ110" s="27"/>
      <c r="BK110" s="27"/>
      <c r="BL110" s="27"/>
      <c r="BM110" s="27"/>
      <c r="BN110" s="34"/>
    </row>
    <row r="111" spans="21:66" x14ac:dyDescent="0.3">
      <c r="V111" s="33"/>
      <c r="W111" s="27"/>
      <c r="X111" s="27"/>
      <c r="Y111" s="42"/>
      <c r="Z111" s="27"/>
      <c r="AA111" s="27"/>
      <c r="AB111" s="27"/>
      <c r="AC111" s="27"/>
      <c r="AD111" s="34"/>
      <c r="AE111" s="33"/>
      <c r="AF111" s="27"/>
      <c r="AG111" s="27"/>
      <c r="AH111" s="42"/>
      <c r="AI111" s="27"/>
      <c r="AJ111" s="27"/>
      <c r="AK111" s="27"/>
      <c r="AL111" s="27"/>
      <c r="AM111" s="34"/>
      <c r="AN111" s="33"/>
      <c r="AO111" s="27"/>
      <c r="AP111" s="27"/>
      <c r="AQ111" s="42"/>
      <c r="AR111" s="27"/>
      <c r="AS111" s="27"/>
      <c r="AT111" s="27"/>
      <c r="AU111" s="27"/>
      <c r="AV111" s="34"/>
      <c r="AW111" s="33"/>
      <c r="AX111" s="27"/>
      <c r="AY111" s="27"/>
      <c r="AZ111" s="42"/>
      <c r="BA111" s="27"/>
      <c r="BB111" s="27"/>
      <c r="BC111" s="27"/>
      <c r="BD111" s="27"/>
      <c r="BE111" s="34"/>
      <c r="BF111" s="30"/>
      <c r="BG111" s="27"/>
      <c r="BH111" s="27"/>
      <c r="BI111" s="42"/>
      <c r="BJ111" s="27"/>
      <c r="BK111" s="27"/>
      <c r="BL111" s="27"/>
      <c r="BM111" s="27"/>
      <c r="BN111" s="34"/>
    </row>
    <row r="112" spans="21:66" x14ac:dyDescent="0.3">
      <c r="V112" s="33"/>
      <c r="W112" s="27"/>
      <c r="X112" s="27"/>
      <c r="Y112" s="42"/>
      <c r="Z112" s="27"/>
      <c r="AA112" s="27"/>
      <c r="AB112" s="27"/>
      <c r="AC112" s="27"/>
      <c r="AD112" s="34"/>
      <c r="AE112" s="33"/>
      <c r="AF112" s="27"/>
      <c r="AG112" s="27"/>
      <c r="AH112" s="42"/>
      <c r="AI112" s="27"/>
      <c r="AJ112" s="27"/>
      <c r="AK112" s="27"/>
      <c r="AL112" s="27"/>
      <c r="AM112" s="34"/>
      <c r="AN112" s="33"/>
      <c r="AO112" s="27"/>
      <c r="AP112" s="27"/>
      <c r="AQ112" s="42"/>
      <c r="AR112" s="27"/>
      <c r="AS112" s="27"/>
      <c r="AT112" s="27"/>
      <c r="AU112" s="27"/>
      <c r="AV112" s="34"/>
      <c r="AW112" s="33"/>
      <c r="AX112" s="27"/>
      <c r="AY112" s="27"/>
      <c r="AZ112" s="42"/>
      <c r="BA112" s="27"/>
      <c r="BB112" s="27"/>
      <c r="BC112" s="27"/>
      <c r="BD112" s="27"/>
      <c r="BE112" s="34"/>
      <c r="BF112" s="30"/>
      <c r="BG112" s="27"/>
      <c r="BH112" s="27"/>
      <c r="BI112" s="42"/>
      <c r="BJ112" s="27"/>
      <c r="BK112" s="27"/>
      <c r="BL112" s="27"/>
      <c r="BM112" s="27"/>
      <c r="BN112" s="34"/>
    </row>
    <row r="113" spans="22:66" x14ac:dyDescent="0.3">
      <c r="V113" s="33"/>
      <c r="W113" s="27"/>
      <c r="X113" s="27"/>
      <c r="Y113" s="42"/>
      <c r="Z113" s="27"/>
      <c r="AA113" s="27"/>
      <c r="AB113" s="27"/>
      <c r="AC113" s="27"/>
      <c r="AD113" s="34"/>
      <c r="AE113" s="33"/>
      <c r="AF113" s="27"/>
      <c r="AG113" s="27"/>
      <c r="AH113" s="42"/>
      <c r="AI113" s="27"/>
      <c r="AJ113" s="27"/>
      <c r="AK113" s="27"/>
      <c r="AL113" s="27"/>
      <c r="AM113" s="34"/>
      <c r="AN113" s="33"/>
      <c r="AO113" s="27"/>
      <c r="AP113" s="27"/>
      <c r="AQ113" s="42"/>
      <c r="AR113" s="27"/>
      <c r="AS113" s="27"/>
      <c r="AT113" s="27"/>
      <c r="AU113" s="27"/>
      <c r="AV113" s="34"/>
      <c r="AW113" s="33"/>
      <c r="AX113" s="27"/>
      <c r="AY113" s="27"/>
      <c r="AZ113" s="42"/>
      <c r="BA113" s="27"/>
      <c r="BB113" s="27"/>
      <c r="BC113" s="27"/>
      <c r="BD113" s="27"/>
      <c r="BE113" s="34"/>
      <c r="BF113" s="30"/>
      <c r="BG113" s="27"/>
      <c r="BH113" s="27"/>
      <c r="BI113" s="42"/>
      <c r="BJ113" s="27"/>
      <c r="BK113" s="27"/>
      <c r="BL113" s="27"/>
      <c r="BM113" s="27"/>
      <c r="BN113" s="34"/>
    </row>
    <row r="114" spans="22:66" x14ac:dyDescent="0.3">
      <c r="V114" s="33"/>
      <c r="W114" s="27"/>
      <c r="X114" s="27"/>
      <c r="Y114" s="42"/>
      <c r="Z114" s="27"/>
      <c r="AA114" s="27"/>
      <c r="AB114" s="27"/>
      <c r="AC114" s="27"/>
      <c r="AD114" s="34"/>
      <c r="AE114" s="33"/>
      <c r="AF114" s="27"/>
      <c r="AG114" s="27"/>
      <c r="AH114" s="42"/>
      <c r="AI114" s="27"/>
      <c r="AJ114" s="27"/>
      <c r="AK114" s="27"/>
      <c r="AL114" s="27"/>
      <c r="AM114" s="34"/>
      <c r="AN114" s="33"/>
      <c r="AO114" s="27"/>
      <c r="AP114" s="27"/>
      <c r="AQ114" s="42"/>
      <c r="AR114" s="27"/>
      <c r="AS114" s="27"/>
      <c r="AT114" s="27"/>
      <c r="AU114" s="27"/>
      <c r="AV114" s="34"/>
      <c r="AW114" s="33"/>
      <c r="AX114" s="27"/>
      <c r="AY114" s="27"/>
      <c r="AZ114" s="42"/>
      <c r="BA114" s="27"/>
      <c r="BB114" s="27"/>
      <c r="BC114" s="27"/>
      <c r="BD114" s="27"/>
      <c r="BE114" s="34"/>
      <c r="BF114" s="30"/>
      <c r="BG114" s="27"/>
      <c r="BH114" s="27"/>
      <c r="BI114" s="42"/>
      <c r="BJ114" s="27"/>
      <c r="BK114" s="27"/>
      <c r="BL114" s="27"/>
      <c r="BM114" s="27"/>
      <c r="BN114" s="34"/>
    </row>
    <row r="115" spans="22:66" x14ac:dyDescent="0.3">
      <c r="V115" s="33"/>
      <c r="W115" s="27"/>
      <c r="X115" s="27"/>
      <c r="Y115" s="42"/>
      <c r="Z115" s="27"/>
      <c r="AA115" s="27"/>
      <c r="AB115" s="27"/>
      <c r="AC115" s="27"/>
      <c r="AD115" s="34"/>
      <c r="AE115" s="33"/>
      <c r="AF115" s="27"/>
      <c r="AG115" s="27"/>
      <c r="AH115" s="42"/>
      <c r="AI115" s="27"/>
      <c r="AJ115" s="27"/>
      <c r="AK115" s="27"/>
      <c r="AL115" s="27"/>
      <c r="AM115" s="34"/>
      <c r="AN115" s="33"/>
      <c r="AO115" s="27"/>
      <c r="AP115" s="27"/>
      <c r="AQ115" s="42"/>
      <c r="AR115" s="27"/>
      <c r="AS115" s="27"/>
      <c r="AT115" s="27"/>
      <c r="AU115" s="27"/>
      <c r="AV115" s="34"/>
      <c r="AW115" s="33"/>
      <c r="AX115" s="27"/>
      <c r="AY115" s="27"/>
      <c r="AZ115" s="42"/>
      <c r="BA115" s="27"/>
      <c r="BB115" s="27"/>
      <c r="BC115" s="27"/>
      <c r="BD115" s="27"/>
      <c r="BE115" s="34"/>
      <c r="BF115" s="30"/>
      <c r="BG115" s="27"/>
      <c r="BH115" s="27"/>
      <c r="BI115" s="42"/>
      <c r="BJ115" s="27"/>
      <c r="BK115" s="27"/>
      <c r="BL115" s="27"/>
      <c r="BM115" s="27"/>
      <c r="BN115" s="34"/>
    </row>
    <row r="116" spans="22:66" x14ac:dyDescent="0.3">
      <c r="V116" s="33"/>
      <c r="W116" s="27"/>
      <c r="X116" s="27"/>
      <c r="Y116" s="42"/>
      <c r="Z116" s="27"/>
      <c r="AA116" s="27"/>
      <c r="AB116" s="27"/>
      <c r="AC116" s="27"/>
      <c r="AD116" s="34"/>
      <c r="AE116" s="33"/>
      <c r="AF116" s="27"/>
      <c r="AG116" s="27"/>
      <c r="AH116" s="42"/>
      <c r="AI116" s="27"/>
      <c r="AJ116" s="27"/>
      <c r="AK116" s="27"/>
      <c r="AL116" s="27"/>
      <c r="AM116" s="34"/>
      <c r="AN116" s="33"/>
      <c r="AO116" s="27"/>
      <c r="AP116" s="27"/>
      <c r="AQ116" s="42"/>
      <c r="AR116" s="27"/>
      <c r="AS116" s="27"/>
      <c r="AT116" s="27"/>
      <c r="AU116" s="27"/>
      <c r="AV116" s="34"/>
      <c r="AW116" s="33"/>
      <c r="AX116" s="27"/>
      <c r="AY116" s="27"/>
      <c r="AZ116" s="42"/>
      <c r="BA116" s="27"/>
      <c r="BB116" s="27"/>
      <c r="BC116" s="27"/>
      <c r="BD116" s="27"/>
      <c r="BE116" s="34"/>
      <c r="BF116" s="30"/>
      <c r="BG116" s="27"/>
      <c r="BH116" s="27"/>
      <c r="BI116" s="42"/>
      <c r="BJ116" s="27"/>
      <c r="BK116" s="27"/>
      <c r="BL116" s="27"/>
      <c r="BM116" s="27"/>
      <c r="BN116" s="34"/>
    </row>
    <row r="117" spans="22:66" x14ac:dyDescent="0.3">
      <c r="V117" s="33"/>
      <c r="W117" s="27"/>
      <c r="X117" s="27"/>
      <c r="Y117" s="42"/>
      <c r="Z117" s="27"/>
      <c r="AA117" s="27"/>
      <c r="AB117" s="27"/>
      <c r="AC117" s="27"/>
      <c r="AD117" s="34"/>
      <c r="AE117" s="33"/>
      <c r="AF117" s="27"/>
      <c r="AG117" s="27"/>
      <c r="AH117" s="42"/>
      <c r="AI117" s="27"/>
      <c r="AJ117" s="27"/>
      <c r="AK117" s="27"/>
      <c r="AL117" s="27"/>
      <c r="AM117" s="34"/>
      <c r="AN117" s="33"/>
      <c r="AO117" s="27"/>
      <c r="AP117" s="27"/>
      <c r="AQ117" s="42"/>
      <c r="AR117" s="27"/>
      <c r="AS117" s="27"/>
      <c r="AT117" s="27"/>
      <c r="AU117" s="27"/>
      <c r="AV117" s="34"/>
      <c r="AW117" s="33"/>
      <c r="AX117" s="27"/>
      <c r="AY117" s="27"/>
      <c r="AZ117" s="42"/>
      <c r="BA117" s="27"/>
      <c r="BB117" s="27"/>
      <c r="BC117" s="27"/>
      <c r="BD117" s="27"/>
      <c r="BE117" s="34"/>
      <c r="BF117" s="30"/>
      <c r="BG117" s="27"/>
      <c r="BH117" s="27"/>
      <c r="BI117" s="42"/>
      <c r="BJ117" s="27"/>
      <c r="BK117" s="27"/>
      <c r="BL117" s="27"/>
      <c r="BM117" s="27"/>
      <c r="BN117" s="34"/>
    </row>
    <row r="118" spans="22:66" x14ac:dyDescent="0.3">
      <c r="V118" s="33"/>
      <c r="W118" s="27"/>
      <c r="X118" s="27"/>
      <c r="Y118" s="42"/>
      <c r="Z118" s="27"/>
      <c r="AA118" s="27"/>
      <c r="AB118" s="27"/>
      <c r="AC118" s="27"/>
      <c r="AD118" s="34"/>
      <c r="AE118" s="33"/>
      <c r="AF118" s="27"/>
      <c r="AG118" s="27"/>
      <c r="AH118" s="42"/>
      <c r="AI118" s="27"/>
      <c r="AJ118" s="27"/>
      <c r="AK118" s="27"/>
      <c r="AL118" s="27"/>
      <c r="AM118" s="34"/>
      <c r="AN118" s="33"/>
      <c r="AO118" s="27"/>
      <c r="AP118" s="27"/>
      <c r="AQ118" s="42"/>
      <c r="AR118" s="27"/>
      <c r="AS118" s="27"/>
      <c r="AT118" s="27"/>
      <c r="AU118" s="27"/>
      <c r="AV118" s="34"/>
      <c r="AW118" s="33"/>
      <c r="AX118" s="27"/>
      <c r="AY118" s="27"/>
      <c r="AZ118" s="42"/>
      <c r="BA118" s="27"/>
      <c r="BB118" s="27"/>
      <c r="BC118" s="27"/>
      <c r="BD118" s="27"/>
      <c r="BE118" s="34"/>
      <c r="BF118" s="30"/>
      <c r="BG118" s="27"/>
      <c r="BH118" s="27"/>
      <c r="BI118" s="42"/>
      <c r="BJ118" s="27"/>
      <c r="BK118" s="27"/>
      <c r="BL118" s="27"/>
      <c r="BM118" s="27"/>
      <c r="BN118" s="34"/>
    </row>
    <row r="119" spans="22:66" x14ac:dyDescent="0.3">
      <c r="V119" s="33"/>
      <c r="W119" s="27"/>
      <c r="X119" s="27"/>
      <c r="Y119" s="42"/>
      <c r="Z119" s="27"/>
      <c r="AA119" s="27"/>
      <c r="AB119" s="27"/>
      <c r="AC119" s="27"/>
      <c r="AD119" s="34"/>
      <c r="AE119" s="33"/>
      <c r="AF119" s="27"/>
      <c r="AG119" s="27"/>
      <c r="AH119" s="42"/>
      <c r="AI119" s="27"/>
      <c r="AJ119" s="27"/>
      <c r="AK119" s="27"/>
      <c r="AL119" s="27"/>
      <c r="AM119" s="34"/>
      <c r="AN119" s="33"/>
      <c r="AO119" s="27"/>
      <c r="AP119" s="27"/>
      <c r="AQ119" s="42"/>
      <c r="AR119" s="27"/>
      <c r="AS119" s="27"/>
      <c r="AT119" s="27"/>
      <c r="AU119" s="27"/>
      <c r="AV119" s="34"/>
      <c r="AW119" s="33"/>
      <c r="AX119" s="27"/>
      <c r="AY119" s="27"/>
      <c r="AZ119" s="42"/>
      <c r="BA119" s="27"/>
      <c r="BB119" s="27"/>
      <c r="BC119" s="27"/>
      <c r="BD119" s="27"/>
      <c r="BE119" s="34"/>
      <c r="BF119" s="30"/>
      <c r="BG119" s="27"/>
      <c r="BH119" s="27"/>
      <c r="BI119" s="42"/>
      <c r="BJ119" s="27"/>
      <c r="BK119" s="27"/>
      <c r="BL119" s="27"/>
      <c r="BM119" s="27"/>
      <c r="BN119" s="34"/>
    </row>
    <row r="120" spans="22:66" x14ac:dyDescent="0.3">
      <c r="V120" s="33"/>
      <c r="W120" s="27"/>
      <c r="X120" s="27"/>
      <c r="Y120" s="42"/>
      <c r="Z120" s="27"/>
      <c r="AA120" s="27"/>
      <c r="AB120" s="27"/>
      <c r="AC120" s="27"/>
      <c r="AD120" s="34"/>
      <c r="AE120" s="33"/>
      <c r="AF120" s="27"/>
      <c r="AG120" s="27"/>
      <c r="AH120" s="42"/>
      <c r="AI120" s="27"/>
      <c r="AJ120" s="27"/>
      <c r="AK120" s="27"/>
      <c r="AL120" s="27"/>
      <c r="AM120" s="34"/>
      <c r="AN120" s="33"/>
      <c r="AO120" s="27"/>
      <c r="AP120" s="27"/>
      <c r="AQ120" s="42"/>
      <c r="AR120" s="27"/>
      <c r="AS120" s="27"/>
      <c r="AT120" s="27"/>
      <c r="AU120" s="27"/>
      <c r="AV120" s="34"/>
      <c r="AW120" s="33"/>
      <c r="AX120" s="27"/>
      <c r="AY120" s="27"/>
      <c r="AZ120" s="42"/>
      <c r="BA120" s="27"/>
      <c r="BB120" s="27"/>
      <c r="BC120" s="27"/>
      <c r="BD120" s="27"/>
      <c r="BE120" s="34"/>
      <c r="BF120" s="30"/>
      <c r="BG120" s="27"/>
      <c r="BH120" s="27"/>
      <c r="BI120" s="42"/>
      <c r="BJ120" s="27"/>
      <c r="BK120" s="27"/>
      <c r="BL120" s="27"/>
      <c r="BM120" s="27"/>
      <c r="BN120" s="34"/>
    </row>
    <row r="121" spans="22:66" x14ac:dyDescent="0.3">
      <c r="V121" s="33"/>
      <c r="W121" s="27"/>
      <c r="X121" s="27"/>
      <c r="Y121" s="42"/>
      <c r="Z121" s="27"/>
      <c r="AA121" s="27"/>
      <c r="AB121" s="27"/>
      <c r="AC121" s="27"/>
      <c r="AD121" s="34"/>
      <c r="AE121" s="33"/>
      <c r="AF121" s="27"/>
      <c r="AG121" s="27"/>
      <c r="AH121" s="42"/>
      <c r="AI121" s="27"/>
      <c r="AJ121" s="27"/>
      <c r="AK121" s="27"/>
      <c r="AL121" s="27"/>
      <c r="AM121" s="34"/>
      <c r="AN121" s="33"/>
      <c r="AO121" s="27"/>
      <c r="AP121" s="27"/>
      <c r="AQ121" s="42"/>
      <c r="AR121" s="27"/>
      <c r="AS121" s="27"/>
      <c r="AT121" s="27"/>
      <c r="AU121" s="27"/>
      <c r="AV121" s="34"/>
      <c r="AW121" s="33"/>
      <c r="AX121" s="27"/>
      <c r="AY121" s="27"/>
      <c r="AZ121" s="42"/>
      <c r="BA121" s="27"/>
      <c r="BB121" s="27"/>
      <c r="BC121" s="27"/>
      <c r="BD121" s="27"/>
      <c r="BE121" s="34"/>
      <c r="BF121" s="30"/>
      <c r="BG121" s="27"/>
      <c r="BH121" s="27"/>
      <c r="BI121" s="42"/>
      <c r="BJ121" s="27"/>
      <c r="BK121" s="27"/>
      <c r="BL121" s="27"/>
      <c r="BM121" s="27"/>
      <c r="BN121" s="34"/>
    </row>
    <row r="122" spans="22:66" x14ac:dyDescent="0.3">
      <c r="V122" s="33"/>
      <c r="W122" s="27"/>
      <c r="X122" s="27"/>
      <c r="Y122" s="42"/>
      <c r="Z122" s="27"/>
      <c r="AA122" s="27"/>
      <c r="AB122" s="27"/>
      <c r="AC122" s="27"/>
      <c r="AD122" s="34"/>
      <c r="AE122" s="33"/>
      <c r="AF122" s="27"/>
      <c r="AG122" s="27"/>
      <c r="AH122" s="42"/>
      <c r="AI122" s="27"/>
      <c r="AJ122" s="27"/>
      <c r="AK122" s="27"/>
      <c r="AL122" s="27"/>
      <c r="AM122" s="34"/>
      <c r="AN122" s="33"/>
      <c r="AO122" s="27"/>
      <c r="AP122" s="27"/>
      <c r="AQ122" s="42"/>
      <c r="AR122" s="27"/>
      <c r="AS122" s="27"/>
      <c r="AT122" s="27"/>
      <c r="AU122" s="27"/>
      <c r="AV122" s="34"/>
      <c r="AW122" s="33"/>
      <c r="AX122" s="27"/>
      <c r="AY122" s="27"/>
      <c r="AZ122" s="42"/>
      <c r="BA122" s="27"/>
      <c r="BB122" s="27"/>
      <c r="BC122" s="27"/>
      <c r="BD122" s="27"/>
      <c r="BE122" s="34"/>
      <c r="BF122" s="30"/>
      <c r="BG122" s="27"/>
      <c r="BH122" s="27"/>
      <c r="BI122" s="42"/>
      <c r="BJ122" s="27"/>
      <c r="BK122" s="27"/>
      <c r="BL122" s="27"/>
      <c r="BM122" s="27"/>
      <c r="BN122" s="34"/>
    </row>
    <row r="123" spans="22:66" x14ac:dyDescent="0.3">
      <c r="V123" s="33"/>
      <c r="W123" s="27"/>
      <c r="X123" s="27"/>
      <c r="Y123" s="42"/>
      <c r="Z123" s="27"/>
      <c r="AA123" s="27"/>
      <c r="AB123" s="27"/>
      <c r="AC123" s="27"/>
      <c r="AD123" s="34"/>
      <c r="AE123" s="33"/>
      <c r="AF123" s="27"/>
      <c r="AG123" s="27"/>
      <c r="AH123" s="42"/>
      <c r="AI123" s="27"/>
      <c r="AJ123" s="27"/>
      <c r="AK123" s="27"/>
      <c r="AL123" s="27"/>
      <c r="AM123" s="34"/>
      <c r="AN123" s="33"/>
      <c r="AO123" s="27"/>
      <c r="AP123" s="27"/>
      <c r="AQ123" s="42"/>
      <c r="AR123" s="27"/>
      <c r="AS123" s="27"/>
      <c r="AT123" s="27"/>
      <c r="AU123" s="27"/>
      <c r="AV123" s="34"/>
      <c r="AW123" s="33"/>
      <c r="AX123" s="27"/>
      <c r="AY123" s="27"/>
      <c r="AZ123" s="42"/>
      <c r="BA123" s="27"/>
      <c r="BB123" s="27"/>
      <c r="BC123" s="27"/>
      <c r="BD123" s="27"/>
      <c r="BE123" s="34"/>
      <c r="BF123" s="30"/>
      <c r="BG123" s="27"/>
      <c r="BH123" s="27"/>
      <c r="BI123" s="42"/>
      <c r="BJ123" s="27"/>
      <c r="BK123" s="27"/>
      <c r="BL123" s="27"/>
      <c r="BM123" s="27"/>
      <c r="BN123" s="34"/>
    </row>
    <row r="124" spans="22:66" x14ac:dyDescent="0.3">
      <c r="V124" s="33"/>
      <c r="W124" s="27"/>
      <c r="X124" s="27"/>
      <c r="Y124" s="42"/>
      <c r="Z124" s="27"/>
      <c r="AA124" s="27"/>
      <c r="AB124" s="27"/>
      <c r="AC124" s="27"/>
      <c r="AD124" s="34"/>
      <c r="AE124" s="33"/>
      <c r="AF124" s="27"/>
      <c r="AG124" s="27"/>
      <c r="AH124" s="42"/>
      <c r="AI124" s="27"/>
      <c r="AJ124" s="27"/>
      <c r="AK124" s="27"/>
      <c r="AL124" s="27"/>
      <c r="AM124" s="34"/>
      <c r="AN124" s="33"/>
      <c r="AO124" s="27"/>
      <c r="AP124" s="27"/>
      <c r="AQ124" s="42"/>
      <c r="AR124" s="27"/>
      <c r="AS124" s="27"/>
      <c r="AT124" s="27"/>
      <c r="AU124" s="27"/>
      <c r="AV124" s="34"/>
      <c r="AW124" s="33"/>
      <c r="AX124" s="27"/>
      <c r="AY124" s="27"/>
      <c r="AZ124" s="42"/>
      <c r="BA124" s="27"/>
      <c r="BB124" s="27"/>
      <c r="BC124" s="27"/>
      <c r="BD124" s="27"/>
      <c r="BE124" s="34"/>
      <c r="BF124" s="30"/>
      <c r="BG124" s="27"/>
      <c r="BH124" s="27"/>
      <c r="BI124" s="42"/>
      <c r="BJ124" s="27"/>
      <c r="BK124" s="27"/>
      <c r="BL124" s="27"/>
      <c r="BM124" s="27"/>
      <c r="BN124" s="34"/>
    </row>
    <row r="125" spans="22:66" x14ac:dyDescent="0.3">
      <c r="V125" s="33"/>
      <c r="W125" s="27"/>
      <c r="X125" s="27"/>
      <c r="Y125" s="42"/>
      <c r="Z125" s="27"/>
      <c r="AA125" s="27"/>
      <c r="AB125" s="27"/>
      <c r="AC125" s="27"/>
      <c r="AD125" s="34"/>
      <c r="AE125" s="33"/>
      <c r="AF125" s="27"/>
      <c r="AG125" s="27"/>
      <c r="AH125" s="42"/>
      <c r="AI125" s="27"/>
      <c r="AJ125" s="27"/>
      <c r="AK125" s="27"/>
      <c r="AL125" s="27"/>
      <c r="AM125" s="34"/>
      <c r="AN125" s="33"/>
      <c r="AO125" s="27"/>
      <c r="AP125" s="27"/>
      <c r="AQ125" s="42"/>
      <c r="AR125" s="27"/>
      <c r="AS125" s="27"/>
      <c r="AT125" s="27"/>
      <c r="AU125" s="27"/>
      <c r="AV125" s="34"/>
      <c r="AW125" s="33"/>
      <c r="AX125" s="27"/>
      <c r="AY125" s="27"/>
      <c r="AZ125" s="42"/>
      <c r="BA125" s="27"/>
      <c r="BB125" s="27"/>
      <c r="BC125" s="27"/>
      <c r="BD125" s="27"/>
      <c r="BE125" s="34"/>
      <c r="BF125" s="30"/>
      <c r="BG125" s="27"/>
      <c r="BH125" s="27"/>
      <c r="BI125" s="42"/>
      <c r="BJ125" s="27"/>
      <c r="BK125" s="27"/>
      <c r="BL125" s="27"/>
      <c r="BM125" s="27"/>
      <c r="BN125" s="34"/>
    </row>
    <row r="126" spans="22:66" x14ac:dyDescent="0.3">
      <c r="V126" s="33"/>
      <c r="W126" s="27"/>
      <c r="X126" s="27"/>
      <c r="Y126" s="42"/>
      <c r="Z126" s="27"/>
      <c r="AA126" s="27"/>
      <c r="AB126" s="27"/>
      <c r="AC126" s="27"/>
      <c r="AD126" s="34"/>
      <c r="AE126" s="33"/>
      <c r="AF126" s="27"/>
      <c r="AG126" s="27"/>
      <c r="AH126" s="42"/>
      <c r="AI126" s="27"/>
      <c r="AJ126" s="27"/>
      <c r="AK126" s="27"/>
      <c r="AL126" s="27"/>
      <c r="AM126" s="34"/>
      <c r="AN126" s="33"/>
      <c r="AO126" s="27"/>
      <c r="AP126" s="27"/>
      <c r="AQ126" s="42"/>
      <c r="AR126" s="27"/>
      <c r="AS126" s="27"/>
      <c r="AT126" s="27"/>
      <c r="AU126" s="27"/>
      <c r="AV126" s="34"/>
      <c r="AW126" s="33"/>
      <c r="AX126" s="27"/>
      <c r="AY126" s="27"/>
      <c r="AZ126" s="42"/>
      <c r="BA126" s="27"/>
      <c r="BB126" s="27"/>
      <c r="BC126" s="27"/>
      <c r="BD126" s="27"/>
      <c r="BE126" s="34"/>
      <c r="BF126" s="30"/>
      <c r="BG126" s="27"/>
      <c r="BH126" s="27"/>
      <c r="BI126" s="42"/>
      <c r="BJ126" s="27"/>
      <c r="BK126" s="27"/>
      <c r="BL126" s="27"/>
      <c r="BM126" s="27"/>
      <c r="BN126" s="34"/>
    </row>
    <row r="127" spans="22:66" x14ac:dyDescent="0.3">
      <c r="V127" s="33"/>
      <c r="W127" s="27"/>
      <c r="X127" s="27"/>
      <c r="Y127" s="42"/>
      <c r="Z127" s="27"/>
      <c r="AA127" s="27"/>
      <c r="AB127" s="27"/>
      <c r="AC127" s="27"/>
      <c r="AD127" s="34"/>
      <c r="AE127" s="33"/>
      <c r="AF127" s="27"/>
      <c r="AG127" s="27"/>
      <c r="AH127" s="42"/>
      <c r="AI127" s="27"/>
      <c r="AJ127" s="27"/>
      <c r="AK127" s="27"/>
      <c r="AL127" s="27"/>
      <c r="AM127" s="34"/>
      <c r="AN127" s="33"/>
      <c r="AO127" s="27"/>
      <c r="AP127" s="27"/>
      <c r="AQ127" s="42"/>
      <c r="AR127" s="27"/>
      <c r="AS127" s="27"/>
      <c r="AT127" s="27"/>
      <c r="AU127" s="27"/>
      <c r="AV127" s="34"/>
      <c r="AW127" s="33"/>
      <c r="AX127" s="27"/>
      <c r="AY127" s="27"/>
      <c r="AZ127" s="42"/>
      <c r="BA127" s="27"/>
      <c r="BB127" s="27"/>
      <c r="BC127" s="27"/>
      <c r="BD127" s="27"/>
      <c r="BE127" s="34"/>
      <c r="BF127" s="30"/>
      <c r="BG127" s="27"/>
      <c r="BH127" s="27"/>
      <c r="BI127" s="42"/>
      <c r="BJ127" s="27"/>
      <c r="BK127" s="27"/>
      <c r="BL127" s="27"/>
      <c r="BM127" s="27"/>
      <c r="BN127" s="34"/>
    </row>
    <row r="128" spans="22:66" x14ac:dyDescent="0.3">
      <c r="V128" s="33"/>
      <c r="W128" s="27"/>
      <c r="X128" s="27"/>
      <c r="Y128" s="42"/>
      <c r="Z128" s="27"/>
      <c r="AA128" s="27"/>
      <c r="AB128" s="27"/>
      <c r="AC128" s="27"/>
      <c r="AD128" s="34"/>
      <c r="AE128" s="33"/>
      <c r="AF128" s="27"/>
      <c r="AG128" s="27"/>
      <c r="AH128" s="42"/>
      <c r="AI128" s="27"/>
      <c r="AJ128" s="27"/>
      <c r="AK128" s="27"/>
      <c r="AL128" s="27"/>
      <c r="AM128" s="34"/>
      <c r="AN128" s="33"/>
      <c r="AO128" s="27"/>
      <c r="AP128" s="27"/>
      <c r="AQ128" s="42"/>
      <c r="AR128" s="27"/>
      <c r="AS128" s="27"/>
      <c r="AT128" s="27"/>
      <c r="AU128" s="27"/>
      <c r="AV128" s="34"/>
      <c r="AW128" s="33"/>
      <c r="AX128" s="27"/>
      <c r="AY128" s="27"/>
      <c r="AZ128" s="42"/>
      <c r="BA128" s="27"/>
      <c r="BB128" s="27"/>
      <c r="BC128" s="27"/>
      <c r="BD128" s="27"/>
      <c r="BE128" s="34"/>
      <c r="BF128" s="30"/>
      <c r="BG128" s="27"/>
      <c r="BH128" s="27"/>
      <c r="BI128" s="42"/>
      <c r="BJ128" s="27"/>
      <c r="BK128" s="27"/>
      <c r="BL128" s="27"/>
      <c r="BM128" s="27"/>
      <c r="BN128" s="34"/>
    </row>
    <row r="129" spans="22:66" x14ac:dyDescent="0.3">
      <c r="V129" s="33"/>
      <c r="W129" s="27"/>
      <c r="X129" s="27"/>
      <c r="Y129" s="42"/>
      <c r="Z129" s="27"/>
      <c r="AA129" s="27"/>
      <c r="AB129" s="27"/>
      <c r="AC129" s="27"/>
      <c r="AD129" s="34"/>
      <c r="AE129" s="33"/>
      <c r="AF129" s="27"/>
      <c r="AG129" s="27"/>
      <c r="AH129" s="42"/>
      <c r="AI129" s="27"/>
      <c r="AJ129" s="27"/>
      <c r="AK129" s="27"/>
      <c r="AL129" s="27"/>
      <c r="AM129" s="34"/>
      <c r="AN129" s="33"/>
      <c r="AO129" s="27"/>
      <c r="AP129" s="27"/>
      <c r="AQ129" s="42"/>
      <c r="AR129" s="27"/>
      <c r="AS129" s="27"/>
      <c r="AT129" s="27"/>
      <c r="AU129" s="27"/>
      <c r="AV129" s="34"/>
      <c r="AW129" s="33"/>
      <c r="AX129" s="27"/>
      <c r="AY129" s="27"/>
      <c r="AZ129" s="42"/>
      <c r="BA129" s="27"/>
      <c r="BB129" s="27"/>
      <c r="BC129" s="27"/>
      <c r="BD129" s="27"/>
      <c r="BE129" s="34"/>
      <c r="BF129" s="30"/>
      <c r="BG129" s="27"/>
      <c r="BH129" s="27"/>
      <c r="BI129" s="42"/>
      <c r="BJ129" s="27"/>
      <c r="BK129" s="27"/>
      <c r="BL129" s="27"/>
      <c r="BM129" s="27"/>
      <c r="BN129" s="34"/>
    </row>
    <row r="130" spans="22:66" x14ac:dyDescent="0.3">
      <c r="V130" s="33"/>
      <c r="W130" s="27"/>
      <c r="X130" s="27"/>
      <c r="Y130" s="42"/>
      <c r="Z130" s="27"/>
      <c r="AA130" s="27"/>
      <c r="AB130" s="27"/>
      <c r="AC130" s="27"/>
      <c r="AD130" s="34"/>
      <c r="AE130" s="33"/>
      <c r="AF130" s="27"/>
      <c r="AG130" s="27"/>
      <c r="AH130" s="42"/>
      <c r="AI130" s="27"/>
      <c r="AJ130" s="27"/>
      <c r="AK130" s="27"/>
      <c r="AL130" s="27"/>
      <c r="AM130" s="34"/>
      <c r="AN130" s="33"/>
      <c r="AO130" s="27"/>
      <c r="AP130" s="27"/>
      <c r="AQ130" s="42"/>
      <c r="AR130" s="27"/>
      <c r="AS130" s="27"/>
      <c r="AT130" s="27"/>
      <c r="AU130" s="27"/>
      <c r="AV130" s="34"/>
      <c r="AW130" s="33"/>
      <c r="AX130" s="27"/>
      <c r="AY130" s="27"/>
      <c r="AZ130" s="42"/>
      <c r="BA130" s="27"/>
      <c r="BB130" s="27"/>
      <c r="BC130" s="27"/>
      <c r="BD130" s="27"/>
      <c r="BE130" s="34"/>
      <c r="BF130" s="30"/>
      <c r="BG130" s="27"/>
      <c r="BH130" s="27"/>
      <c r="BI130" s="42"/>
      <c r="BJ130" s="27"/>
      <c r="BK130" s="27"/>
      <c r="BL130" s="27"/>
      <c r="BM130" s="27"/>
      <c r="BN130" s="34"/>
    </row>
    <row r="131" spans="22:66" x14ac:dyDescent="0.3">
      <c r="V131" s="33"/>
      <c r="W131" s="27"/>
      <c r="X131" s="27"/>
      <c r="Y131" s="42"/>
      <c r="Z131" s="27"/>
      <c r="AA131" s="27"/>
      <c r="AB131" s="27"/>
      <c r="AC131" s="27"/>
      <c r="AD131" s="34"/>
      <c r="AE131" s="33"/>
      <c r="AF131" s="27"/>
      <c r="AG131" s="27"/>
      <c r="AH131" s="42"/>
      <c r="AI131" s="27"/>
      <c r="AJ131" s="27"/>
      <c r="AK131" s="27"/>
      <c r="AL131" s="27"/>
      <c r="AM131" s="34"/>
      <c r="AN131" s="33"/>
      <c r="AO131" s="27"/>
      <c r="AP131" s="27"/>
      <c r="AQ131" s="42"/>
      <c r="AR131" s="27"/>
      <c r="AS131" s="27"/>
      <c r="AT131" s="27"/>
      <c r="AU131" s="27"/>
      <c r="AV131" s="34"/>
      <c r="AW131" s="33"/>
      <c r="AX131" s="27"/>
      <c r="AY131" s="27"/>
      <c r="AZ131" s="42"/>
      <c r="BA131" s="27"/>
      <c r="BB131" s="27"/>
      <c r="BC131" s="27"/>
      <c r="BD131" s="27"/>
      <c r="BE131" s="34"/>
      <c r="BF131" s="30"/>
      <c r="BG131" s="27"/>
      <c r="BH131" s="27"/>
      <c r="BI131" s="42"/>
      <c r="BJ131" s="27"/>
      <c r="BK131" s="27"/>
      <c r="BL131" s="27"/>
      <c r="BM131" s="27"/>
      <c r="BN131" s="34"/>
    </row>
    <row r="132" spans="22:66" x14ac:dyDescent="0.3">
      <c r="V132" s="33"/>
      <c r="W132" s="27"/>
      <c r="X132" s="27"/>
      <c r="Y132" s="42"/>
      <c r="Z132" s="27"/>
      <c r="AA132" s="27"/>
      <c r="AB132" s="27"/>
      <c r="AC132" s="27"/>
      <c r="AD132" s="34"/>
      <c r="AE132" s="33"/>
      <c r="AF132" s="27"/>
      <c r="AG132" s="27"/>
      <c r="AH132" s="42"/>
      <c r="AI132" s="27"/>
      <c r="AJ132" s="27"/>
      <c r="AK132" s="27"/>
      <c r="AL132" s="27"/>
      <c r="AM132" s="34"/>
      <c r="AN132" s="33"/>
      <c r="AO132" s="27"/>
      <c r="AP132" s="27"/>
      <c r="AQ132" s="42"/>
      <c r="AR132" s="27"/>
      <c r="AS132" s="27"/>
      <c r="AT132" s="27"/>
      <c r="AU132" s="27"/>
      <c r="AV132" s="34"/>
      <c r="AW132" s="33"/>
      <c r="AX132" s="27"/>
      <c r="AY132" s="27"/>
      <c r="AZ132" s="42"/>
      <c r="BA132" s="27"/>
      <c r="BB132" s="27"/>
      <c r="BC132" s="27"/>
      <c r="BD132" s="27"/>
      <c r="BE132" s="34"/>
      <c r="BF132" s="30"/>
      <c r="BG132" s="27"/>
      <c r="BH132" s="27"/>
      <c r="BI132" s="42"/>
      <c r="BJ132" s="27"/>
      <c r="BK132" s="27"/>
      <c r="BL132" s="27"/>
      <c r="BM132" s="27"/>
      <c r="BN132" s="34"/>
    </row>
    <row r="133" spans="22:66" x14ac:dyDescent="0.3">
      <c r="V133" s="33"/>
      <c r="W133" s="27"/>
      <c r="X133" s="27"/>
      <c r="Y133" s="42"/>
      <c r="Z133" s="27"/>
      <c r="AA133" s="27"/>
      <c r="AB133" s="27"/>
      <c r="AC133" s="27"/>
      <c r="AD133" s="34"/>
      <c r="AE133" s="33"/>
      <c r="AF133" s="27"/>
      <c r="AG133" s="27"/>
      <c r="AH133" s="42"/>
      <c r="AI133" s="27"/>
      <c r="AJ133" s="27"/>
      <c r="AK133" s="27"/>
      <c r="AL133" s="27"/>
      <c r="AM133" s="34"/>
      <c r="AN133" s="33"/>
      <c r="AO133" s="27"/>
      <c r="AP133" s="27"/>
      <c r="AQ133" s="42"/>
      <c r="AR133" s="27"/>
      <c r="AS133" s="27"/>
      <c r="AT133" s="27"/>
      <c r="AU133" s="27"/>
      <c r="AV133" s="34"/>
      <c r="AW133" s="33"/>
      <c r="AX133" s="27"/>
      <c r="AY133" s="27"/>
      <c r="AZ133" s="42"/>
      <c r="BA133" s="27"/>
      <c r="BB133" s="27"/>
      <c r="BC133" s="27"/>
      <c r="BD133" s="27"/>
      <c r="BE133" s="34"/>
      <c r="BF133" s="30"/>
      <c r="BG133" s="27"/>
      <c r="BH133" s="27"/>
      <c r="BI133" s="42"/>
      <c r="BJ133" s="27"/>
      <c r="BK133" s="27"/>
      <c r="BL133" s="27"/>
      <c r="BM133" s="27"/>
      <c r="BN133" s="34"/>
    </row>
    <row r="134" spans="22:66" x14ac:dyDescent="0.3">
      <c r="V134" s="33"/>
      <c r="W134" s="27"/>
      <c r="X134" s="27"/>
      <c r="Y134" s="42"/>
      <c r="Z134" s="27"/>
      <c r="AA134" s="27"/>
      <c r="AB134" s="27"/>
      <c r="AC134" s="27"/>
      <c r="AD134" s="34"/>
      <c r="AE134" s="33"/>
      <c r="AF134" s="27"/>
      <c r="AG134" s="27"/>
      <c r="AH134" s="42"/>
      <c r="AI134" s="27"/>
      <c r="AJ134" s="27"/>
      <c r="AK134" s="27"/>
      <c r="AL134" s="27"/>
      <c r="AM134" s="34"/>
      <c r="AN134" s="33"/>
      <c r="AO134" s="27"/>
      <c r="AP134" s="27"/>
      <c r="AQ134" s="42"/>
      <c r="AR134" s="27"/>
      <c r="AS134" s="27"/>
      <c r="AT134" s="27"/>
      <c r="AU134" s="27"/>
      <c r="AV134" s="34"/>
      <c r="AW134" s="33"/>
      <c r="AX134" s="27"/>
      <c r="AY134" s="27"/>
      <c r="AZ134" s="42"/>
      <c r="BA134" s="27"/>
      <c r="BB134" s="27"/>
      <c r="BC134" s="27"/>
      <c r="BD134" s="27"/>
      <c r="BE134" s="34"/>
      <c r="BF134" s="30"/>
      <c r="BG134" s="27"/>
      <c r="BH134" s="27"/>
      <c r="BI134" s="42"/>
      <c r="BJ134" s="27"/>
      <c r="BK134" s="27"/>
      <c r="BL134" s="27"/>
      <c r="BM134" s="27"/>
      <c r="BN134" s="34"/>
    </row>
    <row r="135" spans="22:66" x14ac:dyDescent="0.3">
      <c r="V135" s="33"/>
      <c r="W135" s="27"/>
      <c r="X135" s="27"/>
      <c r="Y135" s="42"/>
      <c r="Z135" s="27"/>
      <c r="AA135" s="27"/>
      <c r="AB135" s="27"/>
      <c r="AC135" s="27"/>
      <c r="AD135" s="34"/>
      <c r="AE135" s="33"/>
      <c r="AF135" s="27"/>
      <c r="AG135" s="27"/>
      <c r="AH135" s="42"/>
      <c r="AI135" s="27"/>
      <c r="AJ135" s="27"/>
      <c r="AK135" s="27"/>
      <c r="AL135" s="27"/>
      <c r="AM135" s="34"/>
      <c r="AN135" s="33"/>
      <c r="AO135" s="27"/>
      <c r="AP135" s="27"/>
      <c r="AQ135" s="42"/>
      <c r="AR135" s="27"/>
      <c r="AS135" s="27"/>
      <c r="AT135" s="27"/>
      <c r="AU135" s="27"/>
      <c r="AV135" s="34"/>
      <c r="AW135" s="33"/>
      <c r="AX135" s="27"/>
      <c r="AY135" s="27"/>
      <c r="AZ135" s="42"/>
      <c r="BA135" s="27"/>
      <c r="BB135" s="27"/>
      <c r="BC135" s="27"/>
      <c r="BD135" s="27"/>
      <c r="BE135" s="34"/>
      <c r="BF135" s="30"/>
      <c r="BG135" s="27"/>
      <c r="BH135" s="27"/>
      <c r="BI135" s="42"/>
      <c r="BJ135" s="27"/>
      <c r="BK135" s="27"/>
      <c r="BL135" s="27"/>
      <c r="BM135" s="27"/>
      <c r="BN135" s="34"/>
    </row>
    <row r="136" spans="22:66" x14ac:dyDescent="0.3">
      <c r="V136" s="33"/>
      <c r="W136" s="27"/>
      <c r="X136" s="27"/>
      <c r="Y136" s="42"/>
      <c r="Z136" s="27"/>
      <c r="AA136" s="27"/>
      <c r="AB136" s="27"/>
      <c r="AC136" s="27"/>
      <c r="AD136" s="34"/>
      <c r="AE136" s="33"/>
      <c r="AF136" s="27"/>
      <c r="AG136" s="27"/>
      <c r="AH136" s="42"/>
      <c r="AI136" s="27"/>
      <c r="AJ136" s="27"/>
      <c r="AK136" s="27"/>
      <c r="AL136" s="27"/>
      <c r="AM136" s="34"/>
      <c r="AN136" s="33"/>
      <c r="AO136" s="27"/>
      <c r="AP136" s="27"/>
      <c r="AQ136" s="42"/>
      <c r="AR136" s="27"/>
      <c r="AS136" s="27"/>
      <c r="AT136" s="27"/>
      <c r="AU136" s="27"/>
      <c r="AV136" s="34"/>
      <c r="AW136" s="33"/>
      <c r="AX136" s="27"/>
      <c r="AY136" s="27"/>
      <c r="AZ136" s="42"/>
      <c r="BA136" s="27"/>
      <c r="BB136" s="27"/>
      <c r="BC136" s="27"/>
      <c r="BD136" s="27"/>
      <c r="BE136" s="34"/>
      <c r="BF136" s="30"/>
      <c r="BG136" s="27"/>
      <c r="BH136" s="27"/>
      <c r="BI136" s="42"/>
      <c r="BJ136" s="27"/>
      <c r="BK136" s="27"/>
      <c r="BL136" s="27"/>
      <c r="BM136" s="27"/>
      <c r="BN136" s="34"/>
    </row>
    <row r="137" spans="22:66" x14ac:dyDescent="0.3">
      <c r="V137" s="33"/>
      <c r="W137" s="27"/>
      <c r="X137" s="27"/>
      <c r="Y137" s="42"/>
      <c r="Z137" s="27"/>
      <c r="AA137" s="27"/>
      <c r="AB137" s="27"/>
      <c r="AC137" s="27"/>
      <c r="AD137" s="34"/>
      <c r="AE137" s="33"/>
      <c r="AF137" s="27"/>
      <c r="AG137" s="27"/>
      <c r="AH137" s="42"/>
      <c r="AI137" s="27"/>
      <c r="AJ137" s="27"/>
      <c r="AK137" s="27"/>
      <c r="AL137" s="27"/>
      <c r="AM137" s="34"/>
      <c r="AN137" s="33"/>
      <c r="AO137" s="27"/>
      <c r="AP137" s="27"/>
      <c r="AQ137" s="42"/>
      <c r="AR137" s="27"/>
      <c r="AS137" s="27"/>
      <c r="AT137" s="27"/>
      <c r="AU137" s="27"/>
      <c r="AV137" s="34"/>
      <c r="AW137" s="33"/>
      <c r="AX137" s="27"/>
      <c r="AY137" s="27"/>
      <c r="AZ137" s="42"/>
      <c r="BA137" s="27"/>
      <c r="BB137" s="27"/>
      <c r="BC137" s="27"/>
      <c r="BD137" s="27"/>
      <c r="BE137" s="34"/>
      <c r="BF137" s="30"/>
      <c r="BG137" s="27"/>
      <c r="BH137" s="27"/>
      <c r="BI137" s="42"/>
      <c r="BJ137" s="27"/>
      <c r="BK137" s="27"/>
      <c r="BL137" s="27"/>
      <c r="BM137" s="27"/>
      <c r="BN137" s="34"/>
    </row>
    <row r="138" spans="22:66" x14ac:dyDescent="0.3">
      <c r="V138" s="33"/>
      <c r="W138" s="27"/>
      <c r="X138" s="27"/>
      <c r="Y138" s="42"/>
      <c r="Z138" s="27"/>
      <c r="AA138" s="27"/>
      <c r="AB138" s="27"/>
      <c r="AC138" s="27"/>
      <c r="AD138" s="34"/>
      <c r="AE138" s="33"/>
      <c r="AF138" s="27"/>
      <c r="AG138" s="27"/>
      <c r="AH138" s="42"/>
      <c r="AI138" s="27"/>
      <c r="AJ138" s="27"/>
      <c r="AK138" s="27"/>
      <c r="AL138" s="27"/>
      <c r="AM138" s="34"/>
      <c r="AN138" s="33"/>
      <c r="AO138" s="27"/>
      <c r="AP138" s="27"/>
      <c r="AQ138" s="42"/>
      <c r="AR138" s="27"/>
      <c r="AS138" s="27"/>
      <c r="AT138" s="27"/>
      <c r="AU138" s="27"/>
      <c r="AV138" s="34"/>
      <c r="AW138" s="33"/>
      <c r="AX138" s="27"/>
      <c r="AY138" s="27"/>
      <c r="AZ138" s="42"/>
      <c r="BA138" s="27"/>
      <c r="BB138" s="27"/>
      <c r="BC138" s="27"/>
      <c r="BD138" s="27"/>
      <c r="BE138" s="34"/>
      <c r="BF138" s="30"/>
      <c r="BG138" s="27"/>
      <c r="BH138" s="27"/>
      <c r="BI138" s="42"/>
      <c r="BJ138" s="27"/>
      <c r="BK138" s="27"/>
      <c r="BL138" s="27"/>
      <c r="BM138" s="27"/>
      <c r="BN138" s="34"/>
    </row>
    <row r="139" spans="22:66" x14ac:dyDescent="0.3">
      <c r="V139" s="33"/>
      <c r="W139" s="27"/>
      <c r="X139" s="27"/>
      <c r="Y139" s="42"/>
      <c r="Z139" s="27"/>
      <c r="AA139" s="27"/>
      <c r="AB139" s="27"/>
      <c r="AC139" s="27"/>
      <c r="AD139" s="34"/>
      <c r="AE139" s="33"/>
      <c r="AF139" s="27"/>
      <c r="AG139" s="27"/>
      <c r="AH139" s="42"/>
      <c r="AI139" s="27"/>
      <c r="AJ139" s="27"/>
      <c r="AK139" s="27"/>
      <c r="AL139" s="27"/>
      <c r="AM139" s="34"/>
      <c r="AN139" s="33"/>
      <c r="AO139" s="27"/>
      <c r="AP139" s="27"/>
      <c r="AQ139" s="42"/>
      <c r="AR139" s="27"/>
      <c r="AS139" s="27"/>
      <c r="AT139" s="27"/>
      <c r="AU139" s="27"/>
      <c r="AV139" s="34"/>
      <c r="AW139" s="33"/>
      <c r="AX139" s="27"/>
      <c r="AY139" s="27"/>
      <c r="AZ139" s="42"/>
      <c r="BA139" s="27"/>
      <c r="BB139" s="27"/>
      <c r="BC139" s="27"/>
      <c r="BD139" s="27"/>
      <c r="BE139" s="34"/>
      <c r="BF139" s="30"/>
      <c r="BG139" s="27"/>
      <c r="BH139" s="27"/>
      <c r="BI139" s="42"/>
      <c r="BJ139" s="27"/>
      <c r="BK139" s="27"/>
      <c r="BL139" s="27"/>
      <c r="BM139" s="27"/>
      <c r="BN139" s="34"/>
    </row>
    <row r="140" spans="22:66" x14ac:dyDescent="0.3">
      <c r="V140" s="33"/>
      <c r="W140" s="27"/>
      <c r="X140" s="27"/>
      <c r="Y140" s="42"/>
      <c r="Z140" s="27"/>
      <c r="AA140" s="27"/>
      <c r="AB140" s="27"/>
      <c r="AC140" s="27"/>
      <c r="AD140" s="34"/>
      <c r="AE140" s="33"/>
      <c r="AF140" s="27"/>
      <c r="AG140" s="27"/>
      <c r="AH140" s="42"/>
      <c r="AI140" s="27"/>
      <c r="AJ140" s="27"/>
      <c r="AK140" s="27"/>
      <c r="AL140" s="27"/>
      <c r="AM140" s="34"/>
      <c r="AN140" s="33"/>
      <c r="AO140" s="27"/>
      <c r="AP140" s="27"/>
      <c r="AQ140" s="42"/>
      <c r="AR140" s="27"/>
      <c r="AS140" s="27"/>
      <c r="AT140" s="27"/>
      <c r="AU140" s="27"/>
      <c r="AV140" s="34"/>
      <c r="AW140" s="33"/>
      <c r="AX140" s="27"/>
      <c r="AY140" s="27"/>
      <c r="AZ140" s="42"/>
      <c r="BA140" s="27"/>
      <c r="BB140" s="27"/>
      <c r="BC140" s="27"/>
      <c r="BD140" s="27"/>
      <c r="BE140" s="34"/>
      <c r="BF140" s="30"/>
      <c r="BG140" s="27"/>
      <c r="BH140" s="27"/>
      <c r="BI140" s="42"/>
      <c r="BJ140" s="27"/>
      <c r="BK140" s="27"/>
      <c r="BL140" s="27"/>
      <c r="BM140" s="27"/>
      <c r="BN140" s="34"/>
    </row>
    <row r="141" spans="22:66" x14ac:dyDescent="0.3">
      <c r="V141" s="33"/>
      <c r="W141" s="27"/>
      <c r="X141" s="27"/>
      <c r="Y141" s="42"/>
      <c r="Z141" s="27"/>
      <c r="AA141" s="27"/>
      <c r="AB141" s="27"/>
      <c r="AC141" s="27"/>
      <c r="AD141" s="34"/>
      <c r="AE141" s="33"/>
      <c r="AF141" s="27"/>
      <c r="AG141" s="27"/>
      <c r="AH141" s="42"/>
      <c r="AI141" s="27"/>
      <c r="AJ141" s="27"/>
      <c r="AK141" s="27"/>
      <c r="AL141" s="27"/>
      <c r="AM141" s="34"/>
      <c r="AN141" s="33"/>
      <c r="AO141" s="27"/>
      <c r="AP141" s="27"/>
      <c r="AQ141" s="42"/>
      <c r="AR141" s="27"/>
      <c r="AS141" s="27"/>
      <c r="AT141" s="27"/>
      <c r="AU141" s="27"/>
      <c r="AV141" s="34"/>
      <c r="AW141" s="33"/>
      <c r="AX141" s="27"/>
      <c r="AY141" s="27"/>
      <c r="AZ141" s="42"/>
      <c r="BA141" s="27"/>
      <c r="BB141" s="27"/>
      <c r="BC141" s="27"/>
      <c r="BD141" s="27"/>
      <c r="BE141" s="34"/>
      <c r="BF141" s="30"/>
      <c r="BG141" s="27"/>
      <c r="BH141" s="27"/>
      <c r="BI141" s="42"/>
      <c r="BJ141" s="27"/>
      <c r="BK141" s="27"/>
      <c r="BL141" s="27"/>
      <c r="BM141" s="27"/>
      <c r="BN141" s="34"/>
    </row>
    <row r="142" spans="22:66" x14ac:dyDescent="0.3">
      <c r="V142" s="33"/>
      <c r="W142" s="27"/>
      <c r="X142" s="27"/>
      <c r="Y142" s="42"/>
      <c r="Z142" s="27"/>
      <c r="AA142" s="27"/>
      <c r="AB142" s="27"/>
      <c r="AC142" s="27"/>
      <c r="AD142" s="34"/>
      <c r="AE142" s="33"/>
      <c r="AF142" s="27"/>
      <c r="AG142" s="27"/>
      <c r="AH142" s="42"/>
      <c r="AI142" s="27"/>
      <c r="AJ142" s="27"/>
      <c r="AK142" s="27"/>
      <c r="AL142" s="27"/>
      <c r="AM142" s="34"/>
      <c r="AN142" s="33"/>
      <c r="AO142" s="27"/>
      <c r="AP142" s="27"/>
      <c r="AQ142" s="42"/>
      <c r="AR142" s="27"/>
      <c r="AS142" s="27"/>
      <c r="AT142" s="27"/>
      <c r="AU142" s="27"/>
      <c r="AV142" s="34"/>
      <c r="AW142" s="33"/>
      <c r="AX142" s="27"/>
      <c r="AY142" s="27"/>
      <c r="AZ142" s="42"/>
      <c r="BA142" s="27"/>
      <c r="BB142" s="27"/>
      <c r="BC142" s="27"/>
      <c r="BD142" s="27"/>
      <c r="BE142" s="34"/>
      <c r="BF142" s="30"/>
      <c r="BG142" s="27"/>
      <c r="BH142" s="27"/>
      <c r="BI142" s="42"/>
      <c r="BJ142" s="27"/>
      <c r="BK142" s="27"/>
      <c r="BL142" s="27"/>
      <c r="BM142" s="27"/>
      <c r="BN142" s="34"/>
    </row>
    <row r="143" spans="22:66" x14ac:dyDescent="0.3">
      <c r="V143" s="33"/>
      <c r="W143" s="27"/>
      <c r="X143" s="27"/>
      <c r="Y143" s="42"/>
      <c r="Z143" s="27"/>
      <c r="AA143" s="27"/>
      <c r="AB143" s="27"/>
      <c r="AC143" s="27"/>
      <c r="AD143" s="34"/>
      <c r="AE143" s="33"/>
      <c r="AF143" s="27"/>
      <c r="AG143" s="27"/>
      <c r="AH143" s="42"/>
      <c r="AI143" s="27"/>
      <c r="AJ143" s="27"/>
      <c r="AK143" s="27"/>
      <c r="AL143" s="27"/>
      <c r="AM143" s="34"/>
      <c r="AN143" s="33"/>
      <c r="AO143" s="27"/>
      <c r="AP143" s="27"/>
      <c r="AQ143" s="42"/>
      <c r="AR143" s="27"/>
      <c r="AS143" s="27"/>
      <c r="AT143" s="27"/>
      <c r="AU143" s="27"/>
      <c r="AV143" s="34"/>
      <c r="AW143" s="33"/>
      <c r="AX143" s="27"/>
      <c r="AY143" s="27"/>
      <c r="AZ143" s="42"/>
      <c r="BA143" s="27"/>
      <c r="BB143" s="27"/>
      <c r="BC143" s="27"/>
      <c r="BD143" s="27"/>
      <c r="BE143" s="34"/>
      <c r="BF143" s="30"/>
      <c r="BG143" s="27"/>
      <c r="BH143" s="27"/>
      <c r="BI143" s="42"/>
      <c r="BJ143" s="27"/>
      <c r="BK143" s="27"/>
      <c r="BL143" s="27"/>
      <c r="BM143" s="27"/>
      <c r="BN143" s="34"/>
    </row>
    <row r="144" spans="22:66" x14ac:dyDescent="0.3">
      <c r="V144" s="33"/>
      <c r="W144" s="27"/>
      <c r="X144" s="27"/>
      <c r="Y144" s="42"/>
      <c r="Z144" s="27"/>
      <c r="AA144" s="27"/>
      <c r="AB144" s="27"/>
      <c r="AC144" s="27"/>
      <c r="AD144" s="34"/>
      <c r="AE144" s="33"/>
      <c r="AF144" s="27"/>
      <c r="AG144" s="27"/>
      <c r="AH144" s="42"/>
      <c r="AI144" s="27"/>
      <c r="AJ144" s="27"/>
      <c r="AK144" s="27"/>
      <c r="AL144" s="27"/>
      <c r="AM144" s="34"/>
      <c r="AN144" s="33"/>
      <c r="AO144" s="27"/>
      <c r="AP144" s="27"/>
      <c r="AQ144" s="42"/>
      <c r="AR144" s="27"/>
      <c r="AS144" s="27"/>
      <c r="AT144" s="27"/>
      <c r="AU144" s="27"/>
      <c r="AV144" s="34"/>
      <c r="AW144" s="33"/>
      <c r="AX144" s="27"/>
      <c r="AY144" s="27"/>
      <c r="AZ144" s="42"/>
      <c r="BA144" s="27"/>
      <c r="BB144" s="27"/>
      <c r="BC144" s="27"/>
      <c r="BD144" s="27"/>
      <c r="BE144" s="34"/>
      <c r="BF144" s="30"/>
      <c r="BG144" s="27"/>
      <c r="BH144" s="27"/>
      <c r="BI144" s="42"/>
      <c r="BJ144" s="27"/>
      <c r="BK144" s="27"/>
      <c r="BL144" s="27"/>
      <c r="BM144" s="27"/>
      <c r="BN144" s="34"/>
    </row>
    <row r="145" spans="22:66" x14ac:dyDescent="0.3">
      <c r="V145" s="33"/>
      <c r="W145" s="27"/>
      <c r="X145" s="27"/>
      <c r="Y145" s="42"/>
      <c r="Z145" s="27"/>
      <c r="AA145" s="27"/>
      <c r="AB145" s="27"/>
      <c r="AC145" s="27"/>
      <c r="AD145" s="34"/>
      <c r="AE145" s="33"/>
      <c r="AF145" s="27"/>
      <c r="AG145" s="27"/>
      <c r="AH145" s="42"/>
      <c r="AI145" s="27"/>
      <c r="AJ145" s="27"/>
      <c r="AK145" s="27"/>
      <c r="AL145" s="27"/>
      <c r="AM145" s="34"/>
      <c r="AN145" s="33"/>
      <c r="AO145" s="27"/>
      <c r="AP145" s="27"/>
      <c r="AQ145" s="42"/>
      <c r="AR145" s="27"/>
      <c r="AS145" s="27"/>
      <c r="AT145" s="27"/>
      <c r="AU145" s="27"/>
      <c r="AV145" s="34"/>
      <c r="AW145" s="33"/>
      <c r="AX145" s="27"/>
      <c r="AY145" s="27"/>
      <c r="AZ145" s="42"/>
      <c r="BA145" s="27"/>
      <c r="BB145" s="27"/>
      <c r="BC145" s="27"/>
      <c r="BD145" s="27"/>
      <c r="BE145" s="34"/>
      <c r="BF145" s="30"/>
      <c r="BG145" s="27"/>
      <c r="BH145" s="27"/>
      <c r="BI145" s="42"/>
      <c r="BJ145" s="27"/>
      <c r="BK145" s="27"/>
      <c r="BL145" s="27"/>
      <c r="BM145" s="27"/>
      <c r="BN145" s="34"/>
    </row>
    <row r="146" spans="22:66" x14ac:dyDescent="0.3">
      <c r="V146" s="33"/>
      <c r="W146" s="27"/>
      <c r="X146" s="27"/>
      <c r="Y146" s="42"/>
      <c r="Z146" s="27"/>
      <c r="AA146" s="27"/>
      <c r="AB146" s="27"/>
      <c r="AC146" s="27"/>
      <c r="AD146" s="34"/>
      <c r="AE146" s="33"/>
      <c r="AF146" s="27"/>
      <c r="AG146" s="27"/>
      <c r="AH146" s="42"/>
      <c r="AI146" s="27"/>
      <c r="AJ146" s="27"/>
      <c r="AK146" s="27"/>
      <c r="AL146" s="27"/>
      <c r="AM146" s="34"/>
      <c r="AN146" s="33"/>
      <c r="AO146" s="27"/>
      <c r="AP146" s="27"/>
      <c r="AQ146" s="42"/>
      <c r="AR146" s="27"/>
      <c r="AS146" s="27"/>
      <c r="AT146" s="27"/>
      <c r="AU146" s="27"/>
      <c r="AV146" s="34"/>
      <c r="AW146" s="33"/>
      <c r="AX146" s="27"/>
      <c r="AY146" s="27"/>
      <c r="AZ146" s="42"/>
      <c r="BA146" s="27"/>
      <c r="BB146" s="27"/>
      <c r="BC146" s="27"/>
      <c r="BD146" s="27"/>
      <c r="BE146" s="34"/>
      <c r="BF146" s="30"/>
      <c r="BG146" s="27"/>
      <c r="BH146" s="27"/>
      <c r="BI146" s="42"/>
      <c r="BJ146" s="27"/>
      <c r="BK146" s="27"/>
      <c r="BL146" s="27"/>
      <c r="BM146" s="27"/>
      <c r="BN146" s="34"/>
    </row>
    <row r="147" spans="22:66" x14ac:dyDescent="0.3">
      <c r="V147" s="33"/>
      <c r="W147" s="27"/>
      <c r="X147" s="27"/>
      <c r="Y147" s="42"/>
      <c r="Z147" s="27"/>
      <c r="AA147" s="27"/>
      <c r="AB147" s="27"/>
      <c r="AC147" s="27"/>
      <c r="AD147" s="34"/>
      <c r="AE147" s="33"/>
      <c r="AF147" s="27"/>
      <c r="AG147" s="27"/>
      <c r="AH147" s="42"/>
      <c r="AI147" s="27"/>
      <c r="AJ147" s="27"/>
      <c r="AK147" s="27"/>
      <c r="AL147" s="27"/>
      <c r="AM147" s="34"/>
      <c r="AN147" s="33"/>
      <c r="AO147" s="27"/>
      <c r="AP147" s="27"/>
      <c r="AQ147" s="42"/>
      <c r="AR147" s="27"/>
      <c r="AS147" s="27"/>
      <c r="AT147" s="27"/>
      <c r="AU147" s="27"/>
      <c r="AV147" s="34"/>
      <c r="AW147" s="33"/>
      <c r="AX147" s="27"/>
      <c r="AY147" s="27"/>
      <c r="AZ147" s="42"/>
      <c r="BA147" s="27"/>
      <c r="BB147" s="27"/>
      <c r="BC147" s="27"/>
      <c r="BD147" s="27"/>
      <c r="BE147" s="34"/>
      <c r="BF147" s="30"/>
      <c r="BG147" s="27"/>
      <c r="BH147" s="27"/>
      <c r="BI147" s="42"/>
      <c r="BJ147" s="27"/>
      <c r="BK147" s="27"/>
      <c r="BL147" s="27"/>
      <c r="BM147" s="27"/>
      <c r="BN147" s="34"/>
    </row>
    <row r="148" spans="22:66" x14ac:dyDescent="0.3">
      <c r="V148" s="33"/>
      <c r="W148" s="27"/>
      <c r="X148" s="27"/>
      <c r="Y148" s="42"/>
      <c r="Z148" s="27"/>
      <c r="AA148" s="27"/>
      <c r="AB148" s="27"/>
      <c r="AC148" s="27"/>
      <c r="AD148" s="34"/>
      <c r="AE148" s="33"/>
      <c r="AF148" s="27"/>
      <c r="AG148" s="27"/>
      <c r="AH148" s="42"/>
      <c r="AI148" s="27"/>
      <c r="AJ148" s="27"/>
      <c r="AK148" s="27"/>
      <c r="AL148" s="27"/>
      <c r="AM148" s="34"/>
      <c r="AN148" s="33"/>
      <c r="AO148" s="27"/>
      <c r="AP148" s="27"/>
      <c r="AQ148" s="42"/>
      <c r="AR148" s="27"/>
      <c r="AS148" s="27"/>
      <c r="AT148" s="27"/>
      <c r="AU148" s="27"/>
      <c r="AV148" s="34"/>
      <c r="AW148" s="33"/>
      <c r="AX148" s="27"/>
      <c r="AY148" s="27"/>
      <c r="AZ148" s="42"/>
      <c r="BA148" s="27"/>
      <c r="BB148" s="27"/>
      <c r="BC148" s="27"/>
      <c r="BD148" s="27"/>
      <c r="BE148" s="34"/>
      <c r="BF148" s="30"/>
      <c r="BG148" s="27"/>
      <c r="BH148" s="27"/>
      <c r="BI148" s="42"/>
      <c r="BJ148" s="27"/>
      <c r="BK148" s="27"/>
      <c r="BL148" s="27"/>
      <c r="BM148" s="27"/>
      <c r="BN148" s="34"/>
    </row>
    <row r="149" spans="22:66" x14ac:dyDescent="0.3">
      <c r="V149" s="33"/>
      <c r="W149" s="27"/>
      <c r="X149" s="27"/>
      <c r="Y149" s="42"/>
      <c r="Z149" s="27"/>
      <c r="AA149" s="27"/>
      <c r="AB149" s="27"/>
      <c r="AC149" s="27"/>
      <c r="AD149" s="34"/>
      <c r="AE149" s="33"/>
      <c r="AF149" s="27"/>
      <c r="AG149" s="27"/>
      <c r="AH149" s="42"/>
      <c r="AI149" s="27"/>
      <c r="AJ149" s="27"/>
      <c r="AK149" s="27"/>
      <c r="AL149" s="27"/>
      <c r="AM149" s="34"/>
      <c r="AN149" s="33"/>
      <c r="AO149" s="27"/>
      <c r="AP149" s="27"/>
      <c r="AQ149" s="42"/>
      <c r="AR149" s="27"/>
      <c r="AS149" s="27"/>
      <c r="AT149" s="27"/>
      <c r="AU149" s="27"/>
      <c r="AV149" s="34"/>
      <c r="AW149" s="33"/>
      <c r="AX149" s="27"/>
      <c r="AY149" s="27"/>
      <c r="AZ149" s="42"/>
      <c r="BA149" s="27"/>
      <c r="BB149" s="27"/>
      <c r="BC149" s="27"/>
      <c r="BD149" s="27"/>
      <c r="BE149" s="34"/>
      <c r="BF149" s="30"/>
      <c r="BG149" s="27"/>
      <c r="BH149" s="27"/>
      <c r="BI149" s="42"/>
      <c r="BJ149" s="27"/>
      <c r="BK149" s="27"/>
      <c r="BL149" s="27"/>
      <c r="BM149" s="27"/>
      <c r="BN149" s="34"/>
    </row>
    <row r="150" spans="22:66" x14ac:dyDescent="0.3">
      <c r="V150" s="33"/>
      <c r="W150" s="27"/>
      <c r="X150" s="27"/>
      <c r="Y150" s="42"/>
      <c r="Z150" s="27"/>
      <c r="AA150" s="27"/>
      <c r="AB150" s="27"/>
      <c r="AC150" s="27"/>
      <c r="AD150" s="34"/>
      <c r="AE150" s="33"/>
      <c r="AF150" s="27"/>
      <c r="AG150" s="27"/>
      <c r="AH150" s="42"/>
      <c r="AI150" s="27"/>
      <c r="AJ150" s="27"/>
      <c r="AK150" s="27"/>
      <c r="AL150" s="27"/>
      <c r="AM150" s="34"/>
      <c r="AN150" s="33"/>
      <c r="AO150" s="27"/>
      <c r="AP150" s="27"/>
      <c r="AQ150" s="42"/>
      <c r="AR150" s="27"/>
      <c r="AS150" s="27"/>
      <c r="AT150" s="27"/>
      <c r="AU150" s="27"/>
      <c r="AV150" s="34"/>
      <c r="AW150" s="33"/>
      <c r="AX150" s="27"/>
      <c r="AY150" s="27"/>
      <c r="AZ150" s="42"/>
      <c r="BA150" s="27"/>
      <c r="BB150" s="27"/>
      <c r="BC150" s="27"/>
      <c r="BD150" s="27"/>
      <c r="BE150" s="34"/>
      <c r="BF150" s="30"/>
      <c r="BG150" s="27"/>
      <c r="BH150" s="27"/>
      <c r="BI150" s="42"/>
      <c r="BJ150" s="27"/>
      <c r="BK150" s="27"/>
      <c r="BL150" s="27"/>
      <c r="BM150" s="27"/>
      <c r="BN150" s="34"/>
    </row>
    <row r="151" spans="22:66" x14ac:dyDescent="0.3">
      <c r="V151" s="33"/>
      <c r="W151" s="27"/>
      <c r="X151" s="27"/>
      <c r="Y151" s="42"/>
      <c r="Z151" s="27"/>
      <c r="AA151" s="27"/>
      <c r="AB151" s="27"/>
      <c r="AC151" s="27"/>
      <c r="AD151" s="34"/>
      <c r="AE151" s="33"/>
      <c r="AF151" s="27"/>
      <c r="AG151" s="27"/>
      <c r="AH151" s="42"/>
      <c r="AI151" s="27"/>
      <c r="AJ151" s="27"/>
      <c r="AK151" s="27"/>
      <c r="AL151" s="27"/>
      <c r="AM151" s="34"/>
      <c r="AN151" s="33"/>
      <c r="AO151" s="27"/>
      <c r="AP151" s="27"/>
      <c r="AQ151" s="42"/>
      <c r="AR151" s="27"/>
      <c r="AS151" s="27"/>
      <c r="AT151" s="27"/>
      <c r="AU151" s="27"/>
      <c r="AV151" s="34"/>
      <c r="AW151" s="33"/>
      <c r="AX151" s="27"/>
      <c r="AY151" s="27"/>
      <c r="AZ151" s="42"/>
      <c r="BA151" s="27"/>
      <c r="BB151" s="27"/>
      <c r="BC151" s="27"/>
      <c r="BD151" s="27"/>
      <c r="BE151" s="34"/>
      <c r="BF151" s="30"/>
      <c r="BG151" s="27"/>
      <c r="BH151" s="27"/>
      <c r="BI151" s="42"/>
      <c r="BJ151" s="27"/>
      <c r="BK151" s="27"/>
      <c r="BL151" s="27"/>
      <c r="BM151" s="27"/>
      <c r="BN151" s="34"/>
    </row>
    <row r="152" spans="22:66" x14ac:dyDescent="0.3">
      <c r="V152" s="33"/>
      <c r="W152" s="27"/>
      <c r="X152" s="27"/>
      <c r="Y152" s="42"/>
      <c r="Z152" s="27"/>
      <c r="AA152" s="27"/>
      <c r="AB152" s="27"/>
      <c r="AC152" s="27"/>
      <c r="AD152" s="34"/>
      <c r="AE152" s="33"/>
      <c r="AF152" s="27"/>
      <c r="AG152" s="27"/>
      <c r="AH152" s="42"/>
      <c r="AI152" s="27"/>
      <c r="AJ152" s="27"/>
      <c r="AK152" s="27"/>
      <c r="AL152" s="27"/>
      <c r="AM152" s="34"/>
      <c r="AN152" s="33"/>
      <c r="AO152" s="27"/>
      <c r="AP152" s="27"/>
      <c r="AQ152" s="42"/>
      <c r="AR152" s="27"/>
      <c r="AS152" s="27"/>
      <c r="AT152" s="27"/>
      <c r="AU152" s="27"/>
      <c r="AV152" s="34"/>
      <c r="AW152" s="33"/>
      <c r="AX152" s="27"/>
      <c r="AY152" s="27"/>
      <c r="AZ152" s="42"/>
      <c r="BA152" s="27"/>
      <c r="BB152" s="27"/>
      <c r="BC152" s="27"/>
      <c r="BD152" s="27"/>
      <c r="BE152" s="34"/>
      <c r="BF152" s="30"/>
      <c r="BG152" s="27"/>
      <c r="BH152" s="27"/>
      <c r="BI152" s="42"/>
      <c r="BJ152" s="27"/>
      <c r="BK152" s="27"/>
      <c r="BL152" s="27"/>
      <c r="BM152" s="27"/>
      <c r="BN152" s="34"/>
    </row>
    <row r="153" spans="22:66" x14ac:dyDescent="0.3">
      <c r="V153" s="33"/>
      <c r="W153" s="27"/>
      <c r="X153" s="27"/>
      <c r="Y153" s="42"/>
      <c r="Z153" s="27"/>
      <c r="AA153" s="27"/>
      <c r="AB153" s="27"/>
      <c r="AC153" s="27"/>
      <c r="AD153" s="34"/>
      <c r="AE153" s="33"/>
      <c r="AF153" s="27"/>
      <c r="AG153" s="27"/>
      <c r="AH153" s="42"/>
      <c r="AI153" s="27"/>
      <c r="AJ153" s="27"/>
      <c r="AK153" s="27"/>
      <c r="AL153" s="27"/>
      <c r="AM153" s="34"/>
      <c r="AN153" s="33"/>
      <c r="AO153" s="27"/>
      <c r="AP153" s="27"/>
      <c r="AQ153" s="42"/>
      <c r="AR153" s="27"/>
      <c r="AS153" s="27"/>
      <c r="AT153" s="27"/>
      <c r="AU153" s="27"/>
      <c r="AV153" s="34"/>
      <c r="AW153" s="33"/>
      <c r="AX153" s="27"/>
      <c r="AY153" s="27"/>
      <c r="AZ153" s="42"/>
      <c r="BA153" s="27"/>
      <c r="BB153" s="27"/>
      <c r="BC153" s="27"/>
      <c r="BD153" s="27"/>
      <c r="BE153" s="34"/>
      <c r="BF153" s="30"/>
      <c r="BG153" s="27"/>
      <c r="BH153" s="27"/>
      <c r="BI153" s="42"/>
      <c r="BJ153" s="27"/>
      <c r="BK153" s="27"/>
      <c r="BL153" s="27"/>
      <c r="BM153" s="27"/>
      <c r="BN153" s="34"/>
    </row>
    <row r="154" spans="22:66" x14ac:dyDescent="0.3">
      <c r="V154" s="33"/>
      <c r="W154" s="27"/>
      <c r="X154" s="27"/>
      <c r="Y154" s="42"/>
      <c r="Z154" s="27"/>
      <c r="AA154" s="27"/>
      <c r="AB154" s="27"/>
      <c r="AC154" s="27"/>
      <c r="AD154" s="34"/>
      <c r="AE154" s="33"/>
      <c r="AF154" s="27"/>
      <c r="AG154" s="27"/>
      <c r="AH154" s="42"/>
      <c r="AI154" s="27"/>
      <c r="AJ154" s="27"/>
      <c r="AK154" s="27"/>
      <c r="AL154" s="27"/>
      <c r="AM154" s="34"/>
      <c r="AN154" s="33"/>
      <c r="AO154" s="27"/>
      <c r="AP154" s="27"/>
      <c r="AQ154" s="42"/>
      <c r="AR154" s="27"/>
      <c r="AS154" s="27"/>
      <c r="AT154" s="27"/>
      <c r="AU154" s="27"/>
      <c r="AV154" s="34"/>
      <c r="AW154" s="33"/>
      <c r="AX154" s="27"/>
      <c r="AY154" s="27"/>
      <c r="AZ154" s="42"/>
      <c r="BA154" s="27"/>
      <c r="BB154" s="27"/>
      <c r="BC154" s="27"/>
      <c r="BD154" s="27"/>
      <c r="BE154" s="34"/>
      <c r="BF154" s="30"/>
      <c r="BG154" s="27"/>
      <c r="BH154" s="27"/>
      <c r="BI154" s="42"/>
      <c r="BJ154" s="27"/>
      <c r="BK154" s="27"/>
      <c r="BL154" s="27"/>
      <c r="BM154" s="27"/>
      <c r="BN154" s="34"/>
    </row>
    <row r="155" spans="22:66" x14ac:dyDescent="0.3">
      <c r="V155" s="33"/>
      <c r="W155" s="27"/>
      <c r="X155" s="27"/>
      <c r="Y155" s="42"/>
      <c r="Z155" s="27"/>
      <c r="AA155" s="27"/>
      <c r="AB155" s="27"/>
      <c r="AC155" s="27"/>
      <c r="AD155" s="34"/>
      <c r="AE155" s="33"/>
      <c r="AF155" s="27"/>
      <c r="AG155" s="27"/>
      <c r="AH155" s="42"/>
      <c r="AI155" s="27"/>
      <c r="AJ155" s="27"/>
      <c r="AK155" s="27"/>
      <c r="AL155" s="27"/>
      <c r="AM155" s="34"/>
      <c r="AN155" s="33"/>
      <c r="AO155" s="27"/>
      <c r="AP155" s="27"/>
      <c r="AQ155" s="42"/>
      <c r="AR155" s="27"/>
      <c r="AS155" s="27"/>
      <c r="AT155" s="27"/>
      <c r="AU155" s="27"/>
      <c r="AV155" s="34"/>
      <c r="AW155" s="33"/>
      <c r="AX155" s="27"/>
      <c r="AY155" s="27"/>
      <c r="AZ155" s="42"/>
      <c r="BA155" s="27"/>
      <c r="BB155" s="27"/>
      <c r="BC155" s="27"/>
      <c r="BD155" s="27"/>
      <c r="BE155" s="34"/>
      <c r="BF155" s="30"/>
      <c r="BG155" s="27"/>
      <c r="BH155" s="27"/>
      <c r="BI155" s="42"/>
      <c r="BJ155" s="27"/>
      <c r="BK155" s="27"/>
      <c r="BL155" s="27"/>
      <c r="BM155" s="27"/>
      <c r="BN155" s="34"/>
    </row>
    <row r="156" spans="22:66" x14ac:dyDescent="0.3">
      <c r="V156" s="33"/>
      <c r="W156" s="27"/>
      <c r="X156" s="27"/>
      <c r="Y156" s="42"/>
      <c r="Z156" s="27"/>
      <c r="AA156" s="27"/>
      <c r="AB156" s="27"/>
      <c r="AC156" s="27"/>
      <c r="AD156" s="34"/>
      <c r="AE156" s="33"/>
      <c r="AF156" s="27"/>
      <c r="AG156" s="27"/>
      <c r="AH156" s="42"/>
      <c r="AI156" s="27"/>
      <c r="AJ156" s="27"/>
      <c r="AK156" s="27"/>
      <c r="AL156" s="27"/>
      <c r="AM156" s="34"/>
      <c r="AN156" s="33"/>
      <c r="AO156" s="27"/>
      <c r="AP156" s="27"/>
      <c r="AQ156" s="42"/>
      <c r="AR156" s="27"/>
      <c r="AS156" s="27"/>
      <c r="AT156" s="27"/>
      <c r="AU156" s="27"/>
      <c r="AV156" s="34"/>
      <c r="AW156" s="33"/>
      <c r="AX156" s="27"/>
      <c r="AY156" s="27"/>
      <c r="AZ156" s="42"/>
      <c r="BA156" s="27"/>
      <c r="BB156" s="27"/>
      <c r="BC156" s="27"/>
      <c r="BD156" s="27"/>
      <c r="BE156" s="34"/>
      <c r="BF156" s="30"/>
      <c r="BG156" s="27"/>
      <c r="BH156" s="27"/>
      <c r="BI156" s="42"/>
      <c r="BJ156" s="27"/>
      <c r="BK156" s="27"/>
      <c r="BL156" s="27"/>
      <c r="BM156" s="27"/>
      <c r="BN156" s="34"/>
    </row>
    <row r="157" spans="22:66" x14ac:dyDescent="0.3">
      <c r="V157" s="33"/>
      <c r="W157" s="27"/>
      <c r="X157" s="27"/>
      <c r="Y157" s="42"/>
      <c r="Z157" s="27"/>
      <c r="AA157" s="27"/>
      <c r="AB157" s="27"/>
      <c r="AC157" s="27"/>
      <c r="AD157" s="34"/>
      <c r="AE157" s="33"/>
      <c r="AF157" s="27"/>
      <c r="AG157" s="27"/>
      <c r="AH157" s="42"/>
      <c r="AI157" s="27"/>
      <c r="AJ157" s="27"/>
      <c r="AK157" s="27"/>
      <c r="AL157" s="27"/>
      <c r="AM157" s="34"/>
      <c r="AN157" s="33"/>
      <c r="AO157" s="27"/>
      <c r="AP157" s="27"/>
      <c r="AQ157" s="42"/>
      <c r="AR157" s="27"/>
      <c r="AS157" s="27"/>
      <c r="AT157" s="27"/>
      <c r="AU157" s="27"/>
      <c r="AV157" s="34"/>
      <c r="AW157" s="33"/>
      <c r="AX157" s="27"/>
      <c r="AY157" s="27"/>
      <c r="AZ157" s="42"/>
      <c r="BA157" s="27"/>
      <c r="BB157" s="27"/>
      <c r="BC157" s="27"/>
      <c r="BD157" s="27"/>
      <c r="BE157" s="34"/>
      <c r="BF157" s="30"/>
      <c r="BG157" s="27"/>
      <c r="BH157" s="27"/>
      <c r="BI157" s="42"/>
      <c r="BJ157" s="27"/>
      <c r="BK157" s="27"/>
      <c r="BL157" s="27"/>
      <c r="BM157" s="27"/>
      <c r="BN157" s="34"/>
    </row>
    <row r="158" spans="22:66" x14ac:dyDescent="0.3">
      <c r="V158" s="33"/>
      <c r="W158" s="27"/>
      <c r="X158" s="27"/>
      <c r="Y158" s="42"/>
      <c r="Z158" s="27"/>
      <c r="AA158" s="27"/>
      <c r="AB158" s="27"/>
      <c r="AC158" s="27"/>
      <c r="AD158" s="34"/>
      <c r="AE158" s="33"/>
      <c r="AF158" s="27"/>
      <c r="AG158" s="27"/>
      <c r="AH158" s="42"/>
      <c r="AI158" s="27"/>
      <c r="AJ158" s="27"/>
      <c r="AK158" s="27"/>
      <c r="AL158" s="27"/>
      <c r="AM158" s="34"/>
      <c r="AN158" s="33"/>
      <c r="AO158" s="27"/>
      <c r="AP158" s="27"/>
      <c r="AQ158" s="42"/>
      <c r="AR158" s="27"/>
      <c r="AS158" s="27"/>
      <c r="AT158" s="27"/>
      <c r="AU158" s="27"/>
      <c r="AV158" s="34"/>
      <c r="AW158" s="33"/>
      <c r="AX158" s="27"/>
      <c r="AY158" s="27"/>
      <c r="AZ158" s="42"/>
      <c r="BA158" s="27"/>
      <c r="BB158" s="27"/>
      <c r="BC158" s="27"/>
      <c r="BD158" s="27"/>
      <c r="BE158" s="34"/>
      <c r="BF158" s="30"/>
      <c r="BG158" s="27"/>
      <c r="BH158" s="27"/>
      <c r="BI158" s="42"/>
      <c r="BJ158" s="27"/>
      <c r="BK158" s="27"/>
      <c r="BL158" s="27"/>
      <c r="BM158" s="27"/>
      <c r="BN158" s="34"/>
    </row>
    <row r="159" spans="22:66" x14ac:dyDescent="0.3">
      <c r="V159" s="33"/>
      <c r="W159" s="27"/>
      <c r="X159" s="27"/>
      <c r="Y159" s="42"/>
      <c r="Z159" s="27"/>
      <c r="AA159" s="27"/>
      <c r="AB159" s="27"/>
      <c r="AC159" s="27"/>
      <c r="AD159" s="34"/>
      <c r="AE159" s="33"/>
      <c r="AF159" s="27"/>
      <c r="AG159" s="27"/>
      <c r="AH159" s="42"/>
      <c r="AI159" s="27"/>
      <c r="AJ159" s="27"/>
      <c r="AK159" s="27"/>
      <c r="AL159" s="27"/>
      <c r="AM159" s="34"/>
      <c r="AN159" s="33"/>
      <c r="AO159" s="27"/>
      <c r="AP159" s="27"/>
      <c r="AQ159" s="42"/>
      <c r="AR159" s="27"/>
      <c r="AS159" s="27"/>
      <c r="AT159" s="27"/>
      <c r="AU159" s="27"/>
      <c r="AV159" s="34"/>
      <c r="AW159" s="33"/>
      <c r="AX159" s="27"/>
      <c r="AY159" s="27"/>
      <c r="AZ159" s="42"/>
      <c r="BA159" s="27"/>
      <c r="BB159" s="27"/>
      <c r="BC159" s="27"/>
      <c r="BD159" s="27"/>
      <c r="BE159" s="34"/>
      <c r="BF159" s="30"/>
      <c r="BG159" s="27"/>
      <c r="BH159" s="27"/>
      <c r="BI159" s="42"/>
      <c r="BJ159" s="27"/>
      <c r="BK159" s="27"/>
      <c r="BL159" s="27"/>
      <c r="BM159" s="27"/>
      <c r="BN159" s="34"/>
    </row>
    <row r="160" spans="22:66" x14ac:dyDescent="0.3">
      <c r="V160" s="33"/>
      <c r="W160" s="27"/>
      <c r="X160" s="27"/>
      <c r="Y160" s="42"/>
      <c r="Z160" s="27"/>
      <c r="AA160" s="27"/>
      <c r="AB160" s="27"/>
      <c r="AC160" s="27"/>
      <c r="AD160" s="34"/>
      <c r="AE160" s="33"/>
      <c r="AF160" s="27"/>
      <c r="AG160" s="27"/>
      <c r="AH160" s="42"/>
      <c r="AI160" s="27"/>
      <c r="AJ160" s="27"/>
      <c r="AK160" s="27"/>
      <c r="AL160" s="27"/>
      <c r="AM160" s="34"/>
      <c r="AN160" s="33"/>
      <c r="AO160" s="27"/>
      <c r="AP160" s="27"/>
      <c r="AQ160" s="42"/>
      <c r="AR160" s="27"/>
      <c r="AS160" s="27"/>
      <c r="AT160" s="27"/>
      <c r="AU160" s="27"/>
      <c r="AV160" s="34"/>
      <c r="AW160" s="33"/>
      <c r="AX160" s="27"/>
      <c r="AY160" s="27"/>
      <c r="AZ160" s="42"/>
      <c r="BA160" s="27"/>
      <c r="BB160" s="27"/>
      <c r="BC160" s="27"/>
      <c r="BD160" s="27"/>
      <c r="BE160" s="34"/>
      <c r="BF160" s="30"/>
      <c r="BG160" s="27"/>
      <c r="BH160" s="27"/>
      <c r="BI160" s="42"/>
      <c r="BJ160" s="27"/>
      <c r="BK160" s="27"/>
      <c r="BL160" s="27"/>
      <c r="BM160" s="27"/>
      <c r="BN160" s="34"/>
    </row>
    <row r="161" spans="22:66" x14ac:dyDescent="0.3">
      <c r="V161" s="33"/>
      <c r="W161" s="27"/>
      <c r="X161" s="27"/>
      <c r="Y161" s="42"/>
      <c r="Z161" s="27"/>
      <c r="AA161" s="27"/>
      <c r="AB161" s="27"/>
      <c r="AC161" s="27"/>
      <c r="AD161" s="34"/>
      <c r="AE161" s="33"/>
      <c r="AF161" s="27"/>
      <c r="AG161" s="27"/>
      <c r="AH161" s="42"/>
      <c r="AI161" s="27"/>
      <c r="AJ161" s="27"/>
      <c r="AK161" s="27"/>
      <c r="AL161" s="27"/>
      <c r="AM161" s="34"/>
      <c r="AN161" s="33"/>
      <c r="AO161" s="27"/>
      <c r="AP161" s="27"/>
      <c r="AQ161" s="42"/>
      <c r="AR161" s="27"/>
      <c r="AS161" s="27"/>
      <c r="AT161" s="27"/>
      <c r="AU161" s="27"/>
      <c r="AV161" s="34"/>
      <c r="AW161" s="33"/>
      <c r="AX161" s="27"/>
      <c r="AY161" s="27"/>
      <c r="AZ161" s="42"/>
      <c r="BA161" s="27"/>
      <c r="BB161" s="27"/>
      <c r="BC161" s="27"/>
      <c r="BD161" s="27"/>
      <c r="BE161" s="34"/>
      <c r="BF161" s="30"/>
      <c r="BG161" s="27"/>
      <c r="BH161" s="27"/>
      <c r="BI161" s="42"/>
      <c r="BJ161" s="27"/>
      <c r="BK161" s="27"/>
      <c r="BL161" s="27"/>
      <c r="BM161" s="27"/>
      <c r="BN161" s="34"/>
    </row>
    <row r="162" spans="22:66" x14ac:dyDescent="0.3">
      <c r="V162" s="33"/>
      <c r="W162" s="27"/>
      <c r="X162" s="27"/>
      <c r="Y162" s="42"/>
      <c r="Z162" s="27"/>
      <c r="AA162" s="27"/>
      <c r="AB162" s="27"/>
      <c r="AC162" s="27"/>
      <c r="AD162" s="34"/>
      <c r="AE162" s="33"/>
      <c r="AF162" s="27"/>
      <c r="AG162" s="27"/>
      <c r="AH162" s="42"/>
      <c r="AI162" s="27"/>
      <c r="AJ162" s="27"/>
      <c r="AK162" s="27"/>
      <c r="AL162" s="27"/>
      <c r="AM162" s="34"/>
      <c r="AN162" s="33"/>
      <c r="AO162" s="27"/>
      <c r="AP162" s="27"/>
      <c r="AQ162" s="42"/>
      <c r="AR162" s="27"/>
      <c r="AS162" s="27"/>
      <c r="AT162" s="27"/>
      <c r="AU162" s="27"/>
      <c r="AV162" s="34"/>
      <c r="AW162" s="33"/>
      <c r="AX162" s="27"/>
      <c r="AY162" s="27"/>
      <c r="AZ162" s="42"/>
      <c r="BA162" s="27"/>
      <c r="BB162" s="27"/>
      <c r="BC162" s="27"/>
      <c r="BD162" s="27"/>
      <c r="BE162" s="34"/>
      <c r="BF162" s="30"/>
      <c r="BG162" s="27"/>
      <c r="BH162" s="27"/>
      <c r="BI162" s="42"/>
      <c r="BJ162" s="27"/>
      <c r="BK162" s="27"/>
      <c r="BL162" s="27"/>
      <c r="BM162" s="27"/>
      <c r="BN162" s="34"/>
    </row>
    <row r="163" spans="22:66" x14ac:dyDescent="0.3">
      <c r="V163" s="33"/>
      <c r="W163" s="27"/>
      <c r="X163" s="27"/>
      <c r="Y163" s="42"/>
      <c r="Z163" s="27"/>
      <c r="AA163" s="27"/>
      <c r="AB163" s="27"/>
      <c r="AC163" s="27"/>
      <c r="AD163" s="34"/>
      <c r="AE163" s="33"/>
      <c r="AF163" s="27"/>
      <c r="AG163" s="27"/>
      <c r="AH163" s="42"/>
      <c r="AI163" s="27"/>
      <c r="AJ163" s="27"/>
      <c r="AK163" s="27"/>
      <c r="AL163" s="27"/>
      <c r="AM163" s="34"/>
      <c r="AN163" s="33"/>
      <c r="AO163" s="27"/>
      <c r="AP163" s="27"/>
      <c r="AQ163" s="42"/>
      <c r="AR163" s="27"/>
      <c r="AS163" s="27"/>
      <c r="AT163" s="27"/>
      <c r="AU163" s="27"/>
      <c r="AV163" s="34"/>
      <c r="AW163" s="33"/>
      <c r="AX163" s="27"/>
      <c r="AY163" s="27"/>
      <c r="AZ163" s="42"/>
      <c r="BA163" s="27"/>
      <c r="BB163" s="27"/>
      <c r="BC163" s="27"/>
      <c r="BD163" s="27"/>
      <c r="BE163" s="34"/>
      <c r="BF163" s="30"/>
      <c r="BG163" s="27"/>
      <c r="BH163" s="27"/>
      <c r="BI163" s="42"/>
      <c r="BJ163" s="27"/>
      <c r="BK163" s="27"/>
      <c r="BL163" s="27"/>
      <c r="BM163" s="27"/>
      <c r="BN163" s="34"/>
    </row>
    <row r="164" spans="22:66" x14ac:dyDescent="0.3">
      <c r="V164" s="33"/>
      <c r="W164" s="27"/>
      <c r="X164" s="27"/>
      <c r="Y164" s="42"/>
      <c r="Z164" s="27"/>
      <c r="AA164" s="27"/>
      <c r="AB164" s="27"/>
      <c r="AC164" s="27"/>
      <c r="AD164" s="34"/>
      <c r="AE164" s="33"/>
      <c r="AF164" s="27"/>
      <c r="AG164" s="27"/>
      <c r="AH164" s="42"/>
      <c r="AI164" s="27"/>
      <c r="AJ164" s="27"/>
      <c r="AK164" s="27"/>
      <c r="AL164" s="27"/>
      <c r="AM164" s="34"/>
      <c r="AN164" s="33"/>
      <c r="AO164" s="27"/>
      <c r="AP164" s="27"/>
      <c r="AQ164" s="42"/>
      <c r="AR164" s="27"/>
      <c r="AS164" s="27"/>
      <c r="AT164" s="27"/>
      <c r="AU164" s="27"/>
      <c r="AV164" s="34"/>
      <c r="AW164" s="33"/>
      <c r="AX164" s="27"/>
      <c r="AY164" s="27"/>
      <c r="AZ164" s="42"/>
      <c r="BA164" s="27"/>
      <c r="BB164" s="27"/>
      <c r="BC164" s="27"/>
      <c r="BD164" s="27"/>
      <c r="BE164" s="34"/>
      <c r="BF164" s="30"/>
      <c r="BG164" s="27"/>
      <c r="BH164" s="27"/>
      <c r="BI164" s="42"/>
      <c r="BJ164" s="27"/>
      <c r="BK164" s="27"/>
      <c r="BL164" s="27"/>
      <c r="BM164" s="27"/>
      <c r="BN164" s="34"/>
    </row>
    <row r="165" spans="22:66" x14ac:dyDescent="0.3">
      <c r="V165" s="33"/>
      <c r="W165" s="27"/>
      <c r="X165" s="27"/>
      <c r="Y165" s="42"/>
      <c r="Z165" s="27"/>
      <c r="AA165" s="27"/>
      <c r="AB165" s="27"/>
      <c r="AC165" s="27"/>
      <c r="AD165" s="34"/>
      <c r="AE165" s="33"/>
      <c r="AF165" s="27"/>
      <c r="AG165" s="27"/>
      <c r="AH165" s="42"/>
      <c r="AI165" s="27"/>
      <c r="AJ165" s="27"/>
      <c r="AK165" s="27"/>
      <c r="AL165" s="27"/>
      <c r="AM165" s="34"/>
      <c r="AN165" s="33"/>
      <c r="AO165" s="27"/>
      <c r="AP165" s="27"/>
      <c r="AQ165" s="42"/>
      <c r="AR165" s="27"/>
      <c r="AS165" s="27"/>
      <c r="AT165" s="27"/>
      <c r="AU165" s="27"/>
      <c r="AV165" s="34"/>
      <c r="AW165" s="33"/>
      <c r="AX165" s="27"/>
      <c r="AY165" s="27"/>
      <c r="AZ165" s="42"/>
      <c r="BA165" s="27"/>
      <c r="BB165" s="27"/>
      <c r="BC165" s="27"/>
      <c r="BD165" s="27"/>
      <c r="BE165" s="34"/>
      <c r="BF165" s="30"/>
      <c r="BG165" s="27"/>
      <c r="BH165" s="27"/>
      <c r="BI165" s="42"/>
      <c r="BJ165" s="27"/>
      <c r="BK165" s="27"/>
      <c r="BL165" s="27"/>
      <c r="BM165" s="27"/>
      <c r="BN165" s="34"/>
    </row>
    <row r="166" spans="22:66" x14ac:dyDescent="0.3">
      <c r="V166" s="33"/>
      <c r="W166" s="27"/>
      <c r="X166" s="27"/>
      <c r="Y166" s="42"/>
      <c r="Z166" s="27"/>
      <c r="AA166" s="27"/>
      <c r="AB166" s="27"/>
      <c r="AC166" s="27"/>
      <c r="AD166" s="34"/>
      <c r="AE166" s="33"/>
      <c r="AF166" s="27"/>
      <c r="AG166" s="27"/>
      <c r="AH166" s="42"/>
      <c r="AI166" s="27"/>
      <c r="AJ166" s="27"/>
      <c r="AK166" s="27"/>
      <c r="AL166" s="27"/>
      <c r="AM166" s="34"/>
      <c r="AN166" s="33"/>
      <c r="AO166" s="27"/>
      <c r="AP166" s="27"/>
      <c r="AQ166" s="42"/>
      <c r="AR166" s="27"/>
      <c r="AS166" s="27"/>
      <c r="AT166" s="27"/>
      <c r="AU166" s="27"/>
      <c r="AV166" s="34"/>
      <c r="AW166" s="33"/>
      <c r="AX166" s="27"/>
      <c r="AY166" s="27"/>
      <c r="AZ166" s="42"/>
      <c r="BA166" s="27"/>
      <c r="BB166" s="27"/>
      <c r="BC166" s="27"/>
      <c r="BD166" s="27"/>
      <c r="BE166" s="34"/>
      <c r="BF166" s="30"/>
      <c r="BG166" s="27"/>
      <c r="BH166" s="27"/>
      <c r="BI166" s="42"/>
      <c r="BJ166" s="27"/>
      <c r="BK166" s="27"/>
      <c r="BL166" s="27"/>
      <c r="BM166" s="27"/>
      <c r="BN166" s="34"/>
    </row>
    <row r="167" spans="22:66" x14ac:dyDescent="0.3">
      <c r="V167" s="33"/>
      <c r="W167" s="27"/>
      <c r="X167" s="27"/>
      <c r="Y167" s="42"/>
      <c r="Z167" s="27"/>
      <c r="AA167" s="27"/>
      <c r="AB167" s="27"/>
      <c r="AC167" s="27"/>
      <c r="AD167" s="34"/>
      <c r="AE167" s="33"/>
      <c r="AF167" s="27"/>
      <c r="AG167" s="27"/>
      <c r="AH167" s="42"/>
      <c r="AI167" s="27"/>
      <c r="AJ167" s="27"/>
      <c r="AK167" s="27"/>
      <c r="AL167" s="27"/>
      <c r="AM167" s="34"/>
      <c r="AN167" s="33"/>
      <c r="AO167" s="27"/>
      <c r="AP167" s="27"/>
      <c r="AQ167" s="42"/>
      <c r="AR167" s="27"/>
      <c r="AS167" s="27"/>
      <c r="AT167" s="27"/>
      <c r="AU167" s="27"/>
      <c r="AV167" s="34"/>
      <c r="AW167" s="33"/>
      <c r="AX167" s="27"/>
      <c r="AY167" s="27"/>
      <c r="AZ167" s="42"/>
      <c r="BA167" s="27"/>
      <c r="BB167" s="27"/>
      <c r="BC167" s="27"/>
      <c r="BD167" s="27"/>
      <c r="BE167" s="34"/>
      <c r="BF167" s="30"/>
      <c r="BG167" s="27"/>
      <c r="BH167" s="27"/>
      <c r="BI167" s="42"/>
      <c r="BJ167" s="27"/>
      <c r="BK167" s="27"/>
      <c r="BL167" s="27"/>
      <c r="BM167" s="27"/>
      <c r="BN167" s="34"/>
    </row>
    <row r="168" spans="22:66" x14ac:dyDescent="0.3">
      <c r="V168" s="33"/>
      <c r="W168" s="27"/>
      <c r="X168" s="27"/>
      <c r="Y168" s="42"/>
      <c r="Z168" s="27"/>
      <c r="AA168" s="27"/>
      <c r="AB168" s="27"/>
      <c r="AC168" s="27"/>
      <c r="AD168" s="34"/>
      <c r="AE168" s="33"/>
      <c r="AF168" s="27"/>
      <c r="AG168" s="27"/>
      <c r="AH168" s="42"/>
      <c r="AI168" s="27"/>
      <c r="AJ168" s="27"/>
      <c r="AK168" s="27"/>
      <c r="AL168" s="27"/>
      <c r="AM168" s="34"/>
      <c r="AN168" s="33"/>
      <c r="AO168" s="27"/>
      <c r="AP168" s="27"/>
      <c r="AQ168" s="42"/>
      <c r="AR168" s="27"/>
      <c r="AS168" s="27"/>
      <c r="AT168" s="27"/>
      <c r="AU168" s="27"/>
      <c r="AV168" s="34"/>
      <c r="AW168" s="33"/>
      <c r="AX168" s="27"/>
      <c r="AY168" s="27"/>
      <c r="AZ168" s="42"/>
      <c r="BA168" s="27"/>
      <c r="BB168" s="27"/>
      <c r="BC168" s="27"/>
      <c r="BD168" s="27"/>
      <c r="BE168" s="34"/>
      <c r="BF168" s="30"/>
      <c r="BG168" s="27"/>
      <c r="BH168" s="27"/>
      <c r="BI168" s="42"/>
      <c r="BJ168" s="27"/>
      <c r="BK168" s="27"/>
      <c r="BL168" s="27"/>
      <c r="BM168" s="27"/>
      <c r="BN168" s="34"/>
    </row>
    <row r="169" spans="22:66" x14ac:dyDescent="0.3">
      <c r="V169" s="33"/>
      <c r="W169" s="27"/>
      <c r="X169" s="27"/>
      <c r="Y169" s="42"/>
      <c r="Z169" s="27"/>
      <c r="AA169" s="27"/>
      <c r="AB169" s="27"/>
      <c r="AC169" s="27"/>
      <c r="AD169" s="34"/>
      <c r="AE169" s="33"/>
      <c r="AF169" s="27"/>
      <c r="AG169" s="27"/>
      <c r="AH169" s="42"/>
      <c r="AI169" s="27"/>
      <c r="AJ169" s="27"/>
      <c r="AK169" s="27"/>
      <c r="AL169" s="27"/>
      <c r="AM169" s="34"/>
      <c r="AN169" s="33"/>
      <c r="AO169" s="27"/>
      <c r="AP169" s="27"/>
      <c r="AQ169" s="42"/>
      <c r="AR169" s="27"/>
      <c r="AS169" s="27"/>
      <c r="AT169" s="27"/>
      <c r="AU169" s="27"/>
      <c r="AV169" s="34"/>
      <c r="AW169" s="33"/>
      <c r="AX169" s="27"/>
      <c r="AY169" s="27"/>
      <c r="AZ169" s="42"/>
      <c r="BA169" s="27"/>
      <c r="BB169" s="27"/>
      <c r="BC169" s="27"/>
      <c r="BD169" s="27"/>
      <c r="BE169" s="34"/>
      <c r="BF169" s="30"/>
      <c r="BG169" s="27"/>
      <c r="BH169" s="27"/>
      <c r="BI169" s="42"/>
      <c r="BJ169" s="27"/>
      <c r="BK169" s="27"/>
      <c r="BL169" s="27"/>
      <c r="BM169" s="27"/>
      <c r="BN169" s="34"/>
    </row>
    <row r="170" spans="22:66" x14ac:dyDescent="0.3">
      <c r="V170" s="33"/>
      <c r="W170" s="27"/>
      <c r="X170" s="27"/>
      <c r="Y170" s="42"/>
      <c r="Z170" s="27"/>
      <c r="AA170" s="27"/>
      <c r="AB170" s="27"/>
      <c r="AC170" s="27"/>
      <c r="AD170" s="34"/>
      <c r="AE170" s="33"/>
      <c r="AF170" s="27"/>
      <c r="AG170" s="27"/>
      <c r="AH170" s="42"/>
      <c r="AI170" s="27"/>
      <c r="AJ170" s="27"/>
      <c r="AK170" s="27"/>
      <c r="AL170" s="27"/>
      <c r="AM170" s="34"/>
      <c r="AN170" s="33"/>
      <c r="AO170" s="27"/>
      <c r="AP170" s="27"/>
      <c r="AQ170" s="42"/>
      <c r="AR170" s="27"/>
      <c r="AS170" s="27"/>
      <c r="AT170" s="27"/>
      <c r="AU170" s="27"/>
      <c r="AV170" s="34"/>
      <c r="AW170" s="33"/>
      <c r="AX170" s="27"/>
      <c r="AY170" s="27"/>
      <c r="AZ170" s="42"/>
      <c r="BA170" s="27"/>
      <c r="BB170" s="27"/>
      <c r="BC170" s="27"/>
      <c r="BD170" s="27"/>
      <c r="BE170" s="34"/>
      <c r="BF170" s="30"/>
      <c r="BG170" s="27"/>
      <c r="BH170" s="27"/>
      <c r="BI170" s="42"/>
      <c r="BJ170" s="27"/>
      <c r="BK170" s="27"/>
      <c r="BL170" s="27"/>
      <c r="BM170" s="27"/>
      <c r="BN170" s="34"/>
    </row>
    <row r="171" spans="22:66" x14ac:dyDescent="0.3">
      <c r="V171" s="33"/>
      <c r="W171" s="27"/>
      <c r="X171" s="27"/>
      <c r="Y171" s="42"/>
      <c r="Z171" s="27"/>
      <c r="AA171" s="27"/>
      <c r="AB171" s="27"/>
      <c r="AC171" s="27"/>
      <c r="AD171" s="34"/>
      <c r="AE171" s="33"/>
      <c r="AF171" s="27"/>
      <c r="AG171" s="27"/>
      <c r="AH171" s="42"/>
      <c r="AI171" s="27"/>
      <c r="AJ171" s="27"/>
      <c r="AK171" s="27"/>
      <c r="AL171" s="27"/>
      <c r="AM171" s="34"/>
      <c r="AN171" s="33"/>
      <c r="AO171" s="27"/>
      <c r="AP171" s="27"/>
      <c r="AQ171" s="42"/>
      <c r="AR171" s="27"/>
      <c r="AS171" s="27"/>
      <c r="AT171" s="27"/>
      <c r="AU171" s="27"/>
      <c r="AV171" s="34"/>
      <c r="AW171" s="33"/>
      <c r="AX171" s="27"/>
      <c r="AY171" s="27"/>
      <c r="AZ171" s="42"/>
      <c r="BA171" s="27"/>
      <c r="BB171" s="27"/>
      <c r="BC171" s="27"/>
      <c r="BD171" s="27"/>
      <c r="BE171" s="34"/>
      <c r="BF171" s="30"/>
      <c r="BG171" s="27"/>
      <c r="BH171" s="27"/>
      <c r="BI171" s="42"/>
      <c r="BJ171" s="27"/>
      <c r="BK171" s="27"/>
      <c r="BL171" s="27"/>
      <c r="BM171" s="27"/>
      <c r="BN171" s="34"/>
    </row>
    <row r="172" spans="22:66" x14ac:dyDescent="0.3">
      <c r="V172" s="33"/>
      <c r="W172" s="27"/>
      <c r="X172" s="27"/>
      <c r="Y172" s="42"/>
      <c r="Z172" s="27"/>
      <c r="AA172" s="27"/>
      <c r="AB172" s="27"/>
      <c r="AC172" s="27"/>
      <c r="AD172" s="34"/>
      <c r="AE172" s="33"/>
      <c r="AF172" s="27"/>
      <c r="AG172" s="27"/>
      <c r="AH172" s="42"/>
      <c r="AI172" s="27"/>
      <c r="AJ172" s="27"/>
      <c r="AK172" s="27"/>
      <c r="AL172" s="27"/>
      <c r="AM172" s="34"/>
      <c r="AN172" s="33"/>
      <c r="AO172" s="27"/>
      <c r="AP172" s="27"/>
      <c r="AQ172" s="42"/>
      <c r="AR172" s="27"/>
      <c r="AS172" s="27"/>
      <c r="AT172" s="27"/>
      <c r="AU172" s="27"/>
      <c r="AV172" s="34"/>
      <c r="AW172" s="33"/>
      <c r="AX172" s="27"/>
      <c r="AY172" s="27"/>
      <c r="AZ172" s="42"/>
      <c r="BA172" s="27"/>
      <c r="BB172" s="27"/>
      <c r="BC172" s="27"/>
      <c r="BD172" s="27"/>
      <c r="BE172" s="34"/>
      <c r="BF172" s="30"/>
      <c r="BG172" s="27"/>
      <c r="BH172" s="27"/>
      <c r="BI172" s="42"/>
      <c r="BJ172" s="27"/>
      <c r="BK172" s="27"/>
      <c r="BL172" s="27"/>
      <c r="BM172" s="27"/>
      <c r="BN172" s="34"/>
    </row>
    <row r="173" spans="22:66" x14ac:dyDescent="0.3">
      <c r="V173" s="33"/>
      <c r="W173" s="27"/>
      <c r="X173" s="27"/>
      <c r="Y173" s="42"/>
      <c r="Z173" s="27"/>
      <c r="AA173" s="27"/>
      <c r="AB173" s="27"/>
      <c r="AC173" s="27"/>
      <c r="AD173" s="34"/>
      <c r="AE173" s="33"/>
      <c r="AF173" s="27"/>
      <c r="AG173" s="27"/>
      <c r="AH173" s="42"/>
      <c r="AI173" s="27"/>
      <c r="AJ173" s="27"/>
      <c r="AK173" s="27"/>
      <c r="AL173" s="27"/>
      <c r="AM173" s="34"/>
      <c r="AN173" s="33"/>
      <c r="AO173" s="27"/>
      <c r="AP173" s="27"/>
      <c r="AQ173" s="42"/>
      <c r="AR173" s="27"/>
      <c r="AS173" s="27"/>
      <c r="AT173" s="27"/>
      <c r="AU173" s="27"/>
      <c r="AV173" s="34"/>
      <c r="AW173" s="33"/>
      <c r="AX173" s="27"/>
      <c r="AY173" s="27"/>
      <c r="AZ173" s="42"/>
      <c r="BA173" s="27"/>
      <c r="BB173" s="27"/>
      <c r="BC173" s="27"/>
      <c r="BD173" s="27"/>
      <c r="BE173" s="34"/>
      <c r="BF173" s="30"/>
      <c r="BG173" s="27"/>
      <c r="BH173" s="27"/>
      <c r="BI173" s="42"/>
      <c r="BJ173" s="27"/>
      <c r="BK173" s="27"/>
      <c r="BL173" s="27"/>
      <c r="BM173" s="27"/>
      <c r="BN173" s="34"/>
    </row>
    <row r="174" spans="22:66" x14ac:dyDescent="0.3">
      <c r="V174" s="33"/>
      <c r="W174" s="27"/>
      <c r="X174" s="27"/>
      <c r="Y174" s="42"/>
      <c r="Z174" s="27"/>
      <c r="AA174" s="27"/>
      <c r="AB174" s="27"/>
      <c r="AC174" s="27"/>
      <c r="AD174" s="34"/>
      <c r="AE174" s="33"/>
      <c r="AF174" s="27"/>
      <c r="AG174" s="27"/>
      <c r="AH174" s="42"/>
      <c r="AI174" s="27"/>
      <c r="AJ174" s="27"/>
      <c r="AK174" s="27"/>
      <c r="AL174" s="27"/>
      <c r="AM174" s="34"/>
      <c r="AN174" s="33"/>
      <c r="AO174" s="27"/>
      <c r="AP174" s="27"/>
      <c r="AQ174" s="42"/>
      <c r="AR174" s="27"/>
      <c r="AS174" s="27"/>
      <c r="AT174" s="27"/>
      <c r="AU174" s="27"/>
      <c r="AV174" s="34"/>
      <c r="AW174" s="33"/>
      <c r="AX174" s="27"/>
      <c r="AY174" s="27"/>
      <c r="AZ174" s="42"/>
      <c r="BA174" s="27"/>
      <c r="BB174" s="27"/>
      <c r="BC174" s="27"/>
      <c r="BD174" s="27"/>
      <c r="BE174" s="34"/>
      <c r="BF174" s="30"/>
      <c r="BG174" s="27"/>
      <c r="BH174" s="27"/>
      <c r="BI174" s="42"/>
      <c r="BJ174" s="27"/>
      <c r="BK174" s="27"/>
      <c r="BL174" s="27"/>
      <c r="BM174" s="27"/>
      <c r="BN174" s="34"/>
    </row>
    <row r="175" spans="22:66" x14ac:dyDescent="0.3">
      <c r="V175" s="33"/>
      <c r="W175" s="27"/>
      <c r="X175" s="27"/>
      <c r="Y175" s="42"/>
      <c r="Z175" s="27"/>
      <c r="AA175" s="27"/>
      <c r="AB175" s="27"/>
      <c r="AC175" s="27"/>
      <c r="AD175" s="34"/>
      <c r="AE175" s="33"/>
      <c r="AF175" s="27"/>
      <c r="AG175" s="27"/>
      <c r="AH175" s="42"/>
      <c r="AI175" s="27"/>
      <c r="AJ175" s="27"/>
      <c r="AK175" s="27"/>
      <c r="AL175" s="27"/>
      <c r="AM175" s="34"/>
      <c r="AN175" s="33"/>
      <c r="AO175" s="27"/>
      <c r="AP175" s="27"/>
      <c r="AQ175" s="42"/>
      <c r="AR175" s="27"/>
      <c r="AS175" s="27"/>
      <c r="AT175" s="27"/>
      <c r="AU175" s="27"/>
      <c r="AV175" s="34"/>
      <c r="AW175" s="33"/>
      <c r="AX175" s="27"/>
      <c r="AY175" s="27"/>
      <c r="AZ175" s="42"/>
      <c r="BA175" s="27"/>
      <c r="BB175" s="27"/>
      <c r="BC175" s="27"/>
      <c r="BD175" s="27"/>
      <c r="BE175" s="34"/>
      <c r="BF175" s="30"/>
      <c r="BG175" s="27"/>
      <c r="BH175" s="27"/>
      <c r="BI175" s="42"/>
      <c r="BJ175" s="27"/>
      <c r="BK175" s="27"/>
      <c r="BL175" s="27"/>
      <c r="BM175" s="27"/>
      <c r="BN175" s="34"/>
    </row>
    <row r="176" spans="22:66" x14ac:dyDescent="0.3">
      <c r="V176" s="33"/>
      <c r="W176" s="27"/>
      <c r="X176" s="27"/>
      <c r="Y176" s="42"/>
      <c r="Z176" s="27"/>
      <c r="AA176" s="27"/>
      <c r="AB176" s="27"/>
      <c r="AC176" s="27"/>
      <c r="AD176" s="34"/>
      <c r="AE176" s="33"/>
      <c r="AF176" s="27"/>
      <c r="AG176" s="27"/>
      <c r="AH176" s="42"/>
      <c r="AI176" s="27"/>
      <c r="AJ176" s="27"/>
      <c r="AK176" s="27"/>
      <c r="AL176" s="27"/>
      <c r="AM176" s="34"/>
      <c r="AN176" s="33"/>
      <c r="AO176" s="27"/>
      <c r="AP176" s="27"/>
      <c r="AQ176" s="42"/>
      <c r="AR176" s="27"/>
      <c r="AS176" s="27"/>
      <c r="AT176" s="27"/>
      <c r="AU176" s="27"/>
      <c r="AV176" s="34"/>
      <c r="AW176" s="33"/>
      <c r="AX176" s="27"/>
      <c r="AY176" s="27"/>
      <c r="AZ176" s="42"/>
      <c r="BA176" s="27"/>
      <c r="BB176" s="27"/>
      <c r="BC176" s="27"/>
      <c r="BD176" s="27"/>
      <c r="BE176" s="34"/>
      <c r="BF176" s="30"/>
      <c r="BG176" s="27"/>
      <c r="BH176" s="27"/>
      <c r="BI176" s="42"/>
      <c r="BJ176" s="27"/>
      <c r="BK176" s="27"/>
      <c r="BL176" s="27"/>
      <c r="BM176" s="27"/>
      <c r="BN176" s="34"/>
    </row>
    <row r="177" spans="22:66" x14ac:dyDescent="0.3">
      <c r="V177" s="33"/>
      <c r="W177" s="27"/>
      <c r="X177" s="27"/>
      <c r="Y177" s="42"/>
      <c r="Z177" s="27"/>
      <c r="AA177" s="27"/>
      <c r="AB177" s="27"/>
      <c r="AC177" s="27"/>
      <c r="AD177" s="34"/>
      <c r="AE177" s="33"/>
      <c r="AF177" s="27"/>
      <c r="AG177" s="27"/>
      <c r="AH177" s="42"/>
      <c r="AI177" s="27"/>
      <c r="AJ177" s="27"/>
      <c r="AK177" s="27"/>
      <c r="AL177" s="27"/>
      <c r="AM177" s="34"/>
      <c r="AN177" s="33"/>
      <c r="AO177" s="27"/>
      <c r="AP177" s="27"/>
      <c r="AQ177" s="42"/>
      <c r="AR177" s="27"/>
      <c r="AS177" s="27"/>
      <c r="AT177" s="27"/>
      <c r="AU177" s="27"/>
      <c r="AV177" s="34"/>
      <c r="AW177" s="33"/>
      <c r="AX177" s="27"/>
      <c r="AY177" s="27"/>
      <c r="AZ177" s="42"/>
      <c r="BA177" s="27"/>
      <c r="BB177" s="27"/>
      <c r="BC177" s="27"/>
      <c r="BD177" s="27"/>
      <c r="BE177" s="34"/>
      <c r="BF177" s="30"/>
      <c r="BG177" s="27"/>
      <c r="BH177" s="27"/>
      <c r="BI177" s="42"/>
      <c r="BJ177" s="27"/>
      <c r="BK177" s="27"/>
      <c r="BL177" s="27"/>
      <c r="BM177" s="27"/>
      <c r="BN177" s="34"/>
    </row>
    <row r="178" spans="22:66" x14ac:dyDescent="0.3">
      <c r="V178" s="33"/>
      <c r="W178" s="27"/>
      <c r="X178" s="27"/>
      <c r="Y178" s="42"/>
      <c r="Z178" s="27"/>
      <c r="AA178" s="27"/>
      <c r="AB178" s="27"/>
      <c r="AC178" s="27"/>
      <c r="AD178" s="34"/>
      <c r="AE178" s="33"/>
      <c r="AF178" s="27"/>
      <c r="AG178" s="27"/>
      <c r="AH178" s="42"/>
      <c r="AI178" s="27"/>
      <c r="AJ178" s="27"/>
      <c r="AK178" s="27"/>
      <c r="AL178" s="27"/>
      <c r="AM178" s="34"/>
      <c r="AN178" s="33"/>
      <c r="AO178" s="27"/>
      <c r="AP178" s="27"/>
      <c r="AQ178" s="42"/>
      <c r="AR178" s="27"/>
      <c r="AS178" s="27"/>
      <c r="AT178" s="27"/>
      <c r="AU178" s="27"/>
      <c r="AV178" s="34"/>
      <c r="AW178" s="33"/>
      <c r="AX178" s="27"/>
      <c r="AY178" s="27"/>
      <c r="AZ178" s="42"/>
      <c r="BA178" s="27"/>
      <c r="BB178" s="27"/>
      <c r="BC178" s="27"/>
      <c r="BD178" s="27"/>
      <c r="BE178" s="34"/>
      <c r="BF178" s="30"/>
      <c r="BG178" s="27"/>
      <c r="BH178" s="27"/>
      <c r="BI178" s="42"/>
      <c r="BJ178" s="27"/>
      <c r="BK178" s="27"/>
      <c r="BL178" s="27"/>
      <c r="BM178" s="27"/>
      <c r="BN178" s="34"/>
    </row>
    <row r="179" spans="22:66" x14ac:dyDescent="0.3">
      <c r="V179" s="33"/>
      <c r="W179" s="27"/>
      <c r="X179" s="27"/>
      <c r="Y179" s="42"/>
      <c r="Z179" s="27"/>
      <c r="AA179" s="27"/>
      <c r="AB179" s="27"/>
      <c r="AC179" s="27"/>
      <c r="AD179" s="34"/>
      <c r="AE179" s="33"/>
      <c r="AF179" s="27"/>
      <c r="AG179" s="27"/>
      <c r="AH179" s="42"/>
      <c r="AI179" s="27"/>
      <c r="AJ179" s="27"/>
      <c r="AK179" s="27"/>
      <c r="AL179" s="27"/>
      <c r="AM179" s="34"/>
      <c r="AN179" s="33"/>
      <c r="AO179" s="27"/>
      <c r="AP179" s="27"/>
      <c r="AQ179" s="42"/>
      <c r="AR179" s="27"/>
      <c r="AS179" s="27"/>
      <c r="AT179" s="27"/>
      <c r="AU179" s="27"/>
      <c r="AV179" s="34"/>
      <c r="AW179" s="33"/>
      <c r="AX179" s="27"/>
      <c r="AY179" s="27"/>
      <c r="AZ179" s="42"/>
      <c r="BA179" s="27"/>
      <c r="BB179" s="27"/>
      <c r="BC179" s="27"/>
      <c r="BD179" s="27"/>
      <c r="BE179" s="34"/>
      <c r="BF179" s="30"/>
      <c r="BG179" s="27"/>
      <c r="BH179" s="27"/>
      <c r="BI179" s="42"/>
      <c r="BJ179" s="27"/>
      <c r="BK179" s="27"/>
      <c r="BL179" s="27"/>
      <c r="BM179" s="27"/>
      <c r="BN179" s="34"/>
    </row>
    <row r="180" spans="22:66" x14ac:dyDescent="0.3">
      <c r="V180" s="33"/>
      <c r="W180" s="27"/>
      <c r="X180" s="27"/>
      <c r="Y180" s="42"/>
      <c r="Z180" s="27"/>
      <c r="AA180" s="27"/>
      <c r="AB180" s="27"/>
      <c r="AC180" s="27"/>
      <c r="AD180" s="34"/>
      <c r="AE180" s="33"/>
      <c r="AF180" s="27"/>
      <c r="AG180" s="27"/>
      <c r="AH180" s="42"/>
      <c r="AI180" s="27"/>
      <c r="AJ180" s="27"/>
      <c r="AK180" s="27"/>
      <c r="AL180" s="27"/>
      <c r="AM180" s="34"/>
      <c r="AN180" s="33"/>
      <c r="AO180" s="27"/>
      <c r="AP180" s="27"/>
      <c r="AQ180" s="42"/>
      <c r="AR180" s="27"/>
      <c r="AS180" s="27"/>
      <c r="AT180" s="27"/>
      <c r="AU180" s="27"/>
      <c r="AV180" s="34"/>
      <c r="AW180" s="33"/>
      <c r="AX180" s="27"/>
      <c r="AY180" s="27"/>
      <c r="AZ180" s="42"/>
      <c r="BA180" s="27"/>
      <c r="BB180" s="27"/>
      <c r="BC180" s="27"/>
      <c r="BD180" s="27"/>
      <c r="BE180" s="34"/>
      <c r="BF180" s="30"/>
      <c r="BG180" s="27"/>
      <c r="BH180" s="27"/>
      <c r="BI180" s="42"/>
      <c r="BJ180" s="27"/>
      <c r="BK180" s="27"/>
      <c r="BL180" s="27"/>
      <c r="BM180" s="27"/>
      <c r="BN180" s="34"/>
    </row>
    <row r="181" spans="22:66" x14ac:dyDescent="0.3">
      <c r="V181" s="33"/>
      <c r="W181" s="27"/>
      <c r="X181" s="27"/>
      <c r="Y181" s="42"/>
      <c r="Z181" s="27"/>
      <c r="AA181" s="27"/>
      <c r="AB181" s="27"/>
      <c r="AC181" s="27"/>
      <c r="AD181" s="34"/>
      <c r="AE181" s="33"/>
      <c r="AF181" s="27"/>
      <c r="AG181" s="27"/>
      <c r="AH181" s="42"/>
      <c r="AI181" s="27"/>
      <c r="AJ181" s="27"/>
      <c r="AK181" s="27"/>
      <c r="AL181" s="27"/>
      <c r="AM181" s="34"/>
      <c r="AN181" s="33"/>
      <c r="AO181" s="27"/>
      <c r="AP181" s="27"/>
      <c r="AQ181" s="42"/>
      <c r="AR181" s="27"/>
      <c r="AS181" s="27"/>
      <c r="AT181" s="27"/>
      <c r="AU181" s="27"/>
      <c r="AV181" s="34"/>
      <c r="AW181" s="33"/>
      <c r="AX181" s="27"/>
      <c r="AY181" s="27"/>
      <c r="AZ181" s="42"/>
      <c r="BA181" s="27"/>
      <c r="BB181" s="27"/>
      <c r="BC181" s="27"/>
      <c r="BD181" s="27"/>
      <c r="BE181" s="34"/>
      <c r="BF181" s="30"/>
      <c r="BG181" s="27"/>
      <c r="BH181" s="27"/>
      <c r="BI181" s="42"/>
      <c r="BJ181" s="27"/>
      <c r="BK181" s="27"/>
      <c r="BL181" s="27"/>
      <c r="BM181" s="27"/>
      <c r="BN181" s="34"/>
    </row>
    <row r="182" spans="22:66" x14ac:dyDescent="0.3">
      <c r="V182" s="33"/>
      <c r="W182" s="27"/>
      <c r="X182" s="27"/>
      <c r="Y182" s="42"/>
      <c r="Z182" s="27"/>
      <c r="AA182" s="27"/>
      <c r="AB182" s="27"/>
      <c r="AC182" s="27"/>
      <c r="AD182" s="34"/>
      <c r="AE182" s="33"/>
      <c r="AF182" s="27"/>
      <c r="AG182" s="27"/>
      <c r="AH182" s="42"/>
      <c r="AI182" s="27"/>
      <c r="AJ182" s="27"/>
      <c r="AK182" s="27"/>
      <c r="AL182" s="27"/>
      <c r="AM182" s="34"/>
      <c r="AN182" s="33"/>
      <c r="AO182" s="27"/>
      <c r="AP182" s="27"/>
      <c r="AQ182" s="42"/>
      <c r="AR182" s="27"/>
      <c r="AS182" s="27"/>
      <c r="AT182" s="27"/>
      <c r="AU182" s="27"/>
      <c r="AV182" s="34"/>
      <c r="AW182" s="33"/>
      <c r="AX182" s="27"/>
      <c r="AY182" s="27"/>
      <c r="AZ182" s="42"/>
      <c r="BA182" s="27"/>
      <c r="BB182" s="27"/>
      <c r="BC182" s="27"/>
      <c r="BD182" s="27"/>
      <c r="BE182" s="34"/>
      <c r="BF182" s="30"/>
      <c r="BG182" s="27"/>
      <c r="BH182" s="27"/>
      <c r="BI182" s="42"/>
      <c r="BJ182" s="27"/>
      <c r="BK182" s="27"/>
      <c r="BL182" s="27"/>
      <c r="BM182" s="27"/>
      <c r="BN182" s="34"/>
    </row>
    <row r="183" spans="22:66" x14ac:dyDescent="0.3">
      <c r="V183" s="33"/>
      <c r="W183" s="27"/>
      <c r="X183" s="27"/>
      <c r="Y183" s="42"/>
      <c r="Z183" s="27"/>
      <c r="AA183" s="27"/>
      <c r="AB183" s="27"/>
      <c r="AC183" s="27"/>
      <c r="AD183" s="34"/>
      <c r="AE183" s="33"/>
      <c r="AF183" s="27"/>
      <c r="AG183" s="27"/>
      <c r="AH183" s="42"/>
      <c r="AI183" s="27"/>
      <c r="AJ183" s="27"/>
      <c r="AK183" s="27"/>
      <c r="AL183" s="27"/>
      <c r="AM183" s="34"/>
      <c r="AN183" s="33"/>
      <c r="AO183" s="27"/>
      <c r="AP183" s="27"/>
      <c r="AQ183" s="42"/>
      <c r="AR183" s="27"/>
      <c r="AS183" s="27"/>
      <c r="AT183" s="27"/>
      <c r="AU183" s="27"/>
      <c r="AV183" s="34"/>
      <c r="AW183" s="33"/>
      <c r="AX183" s="27"/>
      <c r="AY183" s="27"/>
      <c r="AZ183" s="42"/>
      <c r="BA183" s="27"/>
      <c r="BB183" s="27"/>
      <c r="BC183" s="27"/>
      <c r="BD183" s="27"/>
      <c r="BE183" s="34"/>
      <c r="BF183" s="30"/>
      <c r="BG183" s="27"/>
      <c r="BH183" s="27"/>
      <c r="BI183" s="42"/>
      <c r="BJ183" s="27"/>
      <c r="BK183" s="27"/>
      <c r="BL183" s="27"/>
      <c r="BM183" s="27"/>
      <c r="BN183" s="34"/>
    </row>
    <row r="184" spans="22:66" x14ac:dyDescent="0.3">
      <c r="V184" s="33"/>
      <c r="W184" s="27"/>
      <c r="X184" s="27"/>
      <c r="Y184" s="42"/>
      <c r="Z184" s="27"/>
      <c r="AA184" s="27"/>
      <c r="AB184" s="27"/>
      <c r="AC184" s="27"/>
      <c r="AD184" s="34"/>
      <c r="AE184" s="33"/>
      <c r="AF184" s="27"/>
      <c r="AG184" s="27"/>
      <c r="AH184" s="42"/>
      <c r="AI184" s="27"/>
      <c r="AJ184" s="27"/>
      <c r="AK184" s="27"/>
      <c r="AL184" s="27"/>
      <c r="AM184" s="34"/>
      <c r="AN184" s="33"/>
      <c r="AO184" s="27"/>
      <c r="AP184" s="27"/>
      <c r="AQ184" s="42"/>
      <c r="AR184" s="27"/>
      <c r="AS184" s="27"/>
      <c r="AT184" s="27"/>
      <c r="AU184" s="27"/>
      <c r="AV184" s="34"/>
      <c r="AW184" s="33"/>
      <c r="AX184" s="27"/>
      <c r="AY184" s="27"/>
      <c r="AZ184" s="42"/>
      <c r="BA184" s="27"/>
      <c r="BB184" s="27"/>
      <c r="BC184" s="27"/>
      <c r="BD184" s="27"/>
      <c r="BE184" s="34"/>
      <c r="BF184" s="30"/>
      <c r="BG184" s="27"/>
      <c r="BH184" s="27"/>
      <c r="BI184" s="42"/>
      <c r="BJ184" s="27"/>
      <c r="BK184" s="27"/>
      <c r="BL184" s="27"/>
      <c r="BM184" s="27"/>
      <c r="BN184" s="34"/>
    </row>
    <row r="185" spans="22:66" x14ac:dyDescent="0.3">
      <c r="V185" s="33"/>
      <c r="W185" s="27"/>
      <c r="X185" s="27"/>
      <c r="Y185" s="42"/>
      <c r="Z185" s="27"/>
      <c r="AA185" s="27"/>
      <c r="AB185" s="27"/>
      <c r="AC185" s="27"/>
      <c r="AD185" s="34"/>
      <c r="AE185" s="33"/>
      <c r="AF185" s="27"/>
      <c r="AG185" s="27"/>
      <c r="AH185" s="42"/>
      <c r="AI185" s="27"/>
      <c r="AJ185" s="27"/>
      <c r="AK185" s="27"/>
      <c r="AL185" s="27"/>
      <c r="AM185" s="34"/>
      <c r="AN185" s="33"/>
      <c r="AO185" s="27"/>
      <c r="AP185" s="27"/>
      <c r="AQ185" s="42"/>
      <c r="AR185" s="27"/>
      <c r="AS185" s="27"/>
      <c r="AT185" s="27"/>
      <c r="AU185" s="27"/>
      <c r="AV185" s="34"/>
      <c r="AW185" s="33"/>
      <c r="AX185" s="27"/>
      <c r="AY185" s="27"/>
      <c r="AZ185" s="42"/>
      <c r="BA185" s="27"/>
      <c r="BB185" s="27"/>
      <c r="BC185" s="27"/>
      <c r="BD185" s="27"/>
      <c r="BE185" s="34"/>
      <c r="BF185" s="30"/>
      <c r="BG185" s="27"/>
      <c r="BH185" s="27"/>
      <c r="BI185" s="42"/>
      <c r="BJ185" s="27"/>
      <c r="BK185" s="27"/>
      <c r="BL185" s="27"/>
      <c r="BM185" s="27"/>
      <c r="BN185" s="34"/>
    </row>
    <row r="186" spans="22:66" x14ac:dyDescent="0.3">
      <c r="V186" s="33"/>
      <c r="W186" s="27"/>
      <c r="X186" s="27"/>
      <c r="Y186" s="42"/>
      <c r="Z186" s="27"/>
      <c r="AA186" s="27"/>
      <c r="AB186" s="27"/>
      <c r="AC186" s="27"/>
      <c r="AD186" s="34"/>
      <c r="AE186" s="33"/>
      <c r="AF186" s="27"/>
      <c r="AG186" s="27"/>
      <c r="AH186" s="42"/>
      <c r="AI186" s="27"/>
      <c r="AJ186" s="27"/>
      <c r="AK186" s="27"/>
      <c r="AL186" s="27"/>
      <c r="AM186" s="34"/>
      <c r="AN186" s="33"/>
      <c r="AO186" s="27"/>
      <c r="AP186" s="27"/>
      <c r="AQ186" s="42"/>
      <c r="AR186" s="27"/>
      <c r="AS186" s="27"/>
      <c r="AT186" s="27"/>
      <c r="AU186" s="27"/>
      <c r="AV186" s="34"/>
      <c r="AW186" s="33"/>
      <c r="AX186" s="27"/>
      <c r="AY186" s="27"/>
      <c r="AZ186" s="42"/>
      <c r="BA186" s="27"/>
      <c r="BB186" s="27"/>
      <c r="BC186" s="27"/>
      <c r="BD186" s="27"/>
      <c r="BE186" s="34"/>
      <c r="BF186" s="30"/>
      <c r="BG186" s="27"/>
      <c r="BH186" s="27"/>
      <c r="BI186" s="42"/>
      <c r="BJ186" s="27"/>
      <c r="BK186" s="27"/>
      <c r="BL186" s="27"/>
      <c r="BM186" s="27"/>
      <c r="BN186" s="34"/>
    </row>
    <row r="187" spans="22:66" x14ac:dyDescent="0.3">
      <c r="V187" s="33"/>
      <c r="W187" s="27"/>
      <c r="X187" s="27"/>
      <c r="Y187" s="42"/>
      <c r="Z187" s="27"/>
      <c r="AA187" s="27"/>
      <c r="AB187" s="27"/>
      <c r="AC187" s="27"/>
      <c r="AD187" s="34"/>
      <c r="AE187" s="33"/>
      <c r="AF187" s="27"/>
      <c r="AG187" s="27"/>
      <c r="AH187" s="42"/>
      <c r="AI187" s="27"/>
      <c r="AJ187" s="27"/>
      <c r="AK187" s="27"/>
      <c r="AL187" s="27"/>
      <c r="AM187" s="34"/>
      <c r="AN187" s="33"/>
      <c r="AO187" s="27"/>
      <c r="AP187" s="27"/>
      <c r="AQ187" s="42"/>
      <c r="AR187" s="27"/>
      <c r="AS187" s="27"/>
      <c r="AT187" s="27"/>
      <c r="AU187" s="27"/>
      <c r="AV187" s="34"/>
      <c r="AW187" s="33"/>
      <c r="AX187" s="27"/>
      <c r="AY187" s="27"/>
      <c r="AZ187" s="42"/>
      <c r="BA187" s="27"/>
      <c r="BB187" s="27"/>
      <c r="BC187" s="27"/>
      <c r="BD187" s="27"/>
      <c r="BE187" s="34"/>
      <c r="BF187" s="30"/>
      <c r="BG187" s="27"/>
      <c r="BH187" s="27"/>
      <c r="BI187" s="42"/>
      <c r="BJ187" s="27"/>
      <c r="BK187" s="27"/>
      <c r="BL187" s="27"/>
      <c r="BM187" s="27"/>
      <c r="BN187" s="34"/>
    </row>
    <row r="188" spans="22:66" x14ac:dyDescent="0.3">
      <c r="V188" s="33"/>
      <c r="W188" s="27"/>
      <c r="X188" s="27"/>
      <c r="Y188" s="42"/>
      <c r="Z188" s="27"/>
      <c r="AA188" s="27"/>
      <c r="AB188" s="27"/>
      <c r="AC188" s="27"/>
      <c r="AD188" s="34"/>
      <c r="AE188" s="33"/>
      <c r="AF188" s="27"/>
      <c r="AG188" s="27"/>
      <c r="AH188" s="42"/>
      <c r="AI188" s="27"/>
      <c r="AJ188" s="27"/>
      <c r="AK188" s="27"/>
      <c r="AL188" s="27"/>
      <c r="AM188" s="34"/>
      <c r="AN188" s="33"/>
      <c r="AO188" s="27"/>
      <c r="AP188" s="27"/>
      <c r="AQ188" s="42"/>
      <c r="AR188" s="27"/>
      <c r="AS188" s="27"/>
      <c r="AT188" s="27"/>
      <c r="AU188" s="27"/>
      <c r="AV188" s="34"/>
      <c r="AW188" s="33"/>
      <c r="AX188" s="27"/>
      <c r="AY188" s="27"/>
      <c r="AZ188" s="42"/>
      <c r="BA188" s="27"/>
      <c r="BB188" s="27"/>
      <c r="BC188" s="27"/>
      <c r="BD188" s="27"/>
      <c r="BE188" s="34"/>
      <c r="BF188" s="30"/>
      <c r="BG188" s="27"/>
      <c r="BH188" s="27"/>
      <c r="BI188" s="42"/>
      <c r="BJ188" s="27"/>
      <c r="BK188" s="27"/>
      <c r="BL188" s="27"/>
      <c r="BM188" s="27"/>
      <c r="BN188" s="34"/>
    </row>
    <row r="189" spans="22:66" x14ac:dyDescent="0.3">
      <c r="V189" s="33"/>
      <c r="W189" s="27"/>
      <c r="X189" s="27"/>
      <c r="Y189" s="42"/>
      <c r="Z189" s="27"/>
      <c r="AA189" s="27"/>
      <c r="AB189" s="27"/>
      <c r="AC189" s="27"/>
      <c r="AD189" s="34"/>
      <c r="AE189" s="33"/>
      <c r="AF189" s="27"/>
      <c r="AG189" s="27"/>
      <c r="AH189" s="42"/>
      <c r="AI189" s="27"/>
      <c r="AJ189" s="27"/>
      <c r="AK189" s="27"/>
      <c r="AL189" s="27"/>
      <c r="AM189" s="34"/>
      <c r="AN189" s="33"/>
      <c r="AO189" s="27"/>
      <c r="AP189" s="27"/>
      <c r="AQ189" s="42"/>
      <c r="AR189" s="27"/>
      <c r="AS189" s="27"/>
      <c r="AT189" s="27"/>
      <c r="AU189" s="27"/>
      <c r="AV189" s="34"/>
      <c r="AW189" s="33"/>
      <c r="AX189" s="27"/>
      <c r="AY189" s="27"/>
      <c r="AZ189" s="42"/>
      <c r="BA189" s="27"/>
      <c r="BB189" s="27"/>
      <c r="BC189" s="27"/>
      <c r="BD189" s="27"/>
      <c r="BE189" s="34"/>
      <c r="BF189" s="30"/>
      <c r="BG189" s="27"/>
      <c r="BH189" s="27"/>
      <c r="BI189" s="42"/>
      <c r="BJ189" s="27"/>
      <c r="BK189" s="27"/>
      <c r="BL189" s="27"/>
      <c r="BM189" s="27"/>
      <c r="BN189" s="34"/>
    </row>
    <row r="190" spans="22:66" x14ac:dyDescent="0.3">
      <c r="V190" s="33"/>
      <c r="W190" s="27"/>
      <c r="X190" s="27"/>
      <c r="Y190" s="42"/>
      <c r="Z190" s="27"/>
      <c r="AA190" s="27"/>
      <c r="AB190" s="27"/>
      <c r="AC190" s="27"/>
      <c r="AD190" s="34"/>
      <c r="AE190" s="33"/>
      <c r="AF190" s="27"/>
      <c r="AG190" s="27"/>
      <c r="AH190" s="42"/>
      <c r="AI190" s="27"/>
      <c r="AJ190" s="27"/>
      <c r="AK190" s="27"/>
      <c r="AL190" s="27"/>
      <c r="AM190" s="34"/>
      <c r="AN190" s="33"/>
      <c r="AO190" s="27"/>
      <c r="AP190" s="27"/>
      <c r="AQ190" s="42"/>
      <c r="AR190" s="27"/>
      <c r="AS190" s="27"/>
      <c r="AT190" s="27"/>
      <c r="AU190" s="27"/>
      <c r="AV190" s="34"/>
      <c r="AW190" s="33"/>
      <c r="AX190" s="27"/>
      <c r="AY190" s="27"/>
      <c r="AZ190" s="42"/>
      <c r="BA190" s="27"/>
      <c r="BB190" s="27"/>
      <c r="BC190" s="27"/>
      <c r="BD190" s="27"/>
      <c r="BE190" s="34"/>
      <c r="BF190" s="30"/>
      <c r="BG190" s="27"/>
      <c r="BH190" s="27"/>
      <c r="BI190" s="42"/>
      <c r="BJ190" s="27"/>
      <c r="BK190" s="27"/>
      <c r="BL190" s="27"/>
      <c r="BM190" s="27"/>
      <c r="BN190" s="34"/>
    </row>
  </sheetData>
  <mergeCells count="5">
    <mergeCell ref="V9:AD9"/>
    <mergeCell ref="AE9:AM9"/>
    <mergeCell ref="AW9:BE9"/>
    <mergeCell ref="AN9:AV9"/>
    <mergeCell ref="BF9:BN9"/>
  </mergeCells>
  <conditionalFormatting sqref="AA10:AD10 Y10 AH10 AJ10:AM10 AQ10 AS10:AV10 AZ10 BB10:BE10 BI10 BK10:BN1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:E8 H5:H8 K5:K8 N5:N8 Q5:Q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AVL List GmbH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Zarfl Dominik AVL/GRZ</dc:creator>
  <cp:lastModifiedBy>Zarfl Dominik AVL/GRZ</cp:lastModifiedBy>
  <dcterms:created xsi:type="dcterms:W3CDTF">2017-11-20T14:09:29Z</dcterms:created>
  <dcterms:modified xsi:type="dcterms:W3CDTF">2018-01-09T16:02:57Z</dcterms:modified>
  <cp:version>1.0</cp:version>
</cp:coreProperties>
</file>